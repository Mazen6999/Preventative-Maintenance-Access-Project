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NASEG297-01.ptg.local\ENGINEERING\Internal Audit Engineering Data\PM Instruction\ELect&amp;Mech Instructions PM&amp;Calib-Curing\"/>
    </mc:Choice>
  </mc:AlternateContent>
  <xr:revisionPtr revIDLastSave="0" documentId="13_ncr:1_{D75180EA-1B54-4A19-B551-50AC796D57D5}" xr6:coauthVersionLast="47" xr6:coauthVersionMax="47" xr10:uidLastSave="{00000000-0000-0000-0000-000000000000}"/>
  <bookViews>
    <workbookView xWindow="-120" yWindow="-120" windowWidth="29040" windowHeight="15840" firstSheet="3" activeTab="12" xr2:uid="{00000000-000D-0000-FFFF-FFFF00000000}"/>
  </bookViews>
  <sheets>
    <sheet name="Sheet1 (35)" sheetId="35" r:id="rId1"/>
    <sheet name="Sheet1 (34)" sheetId="34" r:id="rId2"/>
    <sheet name="Sheet1 (33)" sheetId="33" r:id="rId3"/>
    <sheet name="Sheet1 (31)" sheetId="31" r:id="rId4"/>
    <sheet name="Sheet1 (30)" sheetId="30" r:id="rId5"/>
    <sheet name="Sheet1 (28)" sheetId="28" r:id="rId6"/>
    <sheet name="Sheet1 (27)" sheetId="27" r:id="rId7"/>
    <sheet name="Sheet1 (26)" sheetId="26" r:id="rId8"/>
    <sheet name="Sheet1 (25)" sheetId="25" r:id="rId9"/>
    <sheet name="Sheet1 (24)" sheetId="24" r:id="rId10"/>
    <sheet name="Sheet1 (3)" sheetId="3" r:id="rId11"/>
    <sheet name="Sheet1 (6)" sheetId="6" r:id="rId12"/>
    <sheet name="X14." sheetId="32" r:id="rId13"/>
    <sheet name="X13" sheetId="18" r:id="rId14"/>
    <sheet name="X12" sheetId="23" r:id="rId15"/>
    <sheet name="X11" sheetId="22" r:id="rId16"/>
    <sheet name="X10" sheetId="44" r:id="rId17"/>
    <sheet name="X9" sheetId="21" r:id="rId18"/>
    <sheet name="X7" sheetId="19" r:id="rId19"/>
    <sheet name="X6" sheetId="43" r:id="rId20"/>
    <sheet name="X5" sheetId="42" r:id="rId21"/>
    <sheet name="X4" sheetId="41" r:id="rId22"/>
    <sheet name="X3" sheetId="20" r:id="rId23"/>
    <sheet name="X2" sheetId="17" r:id="rId24"/>
    <sheet name="X1" sheetId="40" r:id="rId25"/>
    <sheet name="P23" sheetId="15" r:id="rId26"/>
    <sheet name="P 22" sheetId="8" r:id="rId27"/>
    <sheet name="P21" sheetId="16" r:id="rId28"/>
    <sheet name="P20" sheetId="39" r:id="rId29"/>
    <sheet name="P 19" sheetId="38" r:id="rId30"/>
    <sheet name="P 18" sheetId="14" r:id="rId31"/>
    <sheet name="P17" sheetId="12" r:id="rId32"/>
    <sheet name="P 15" sheetId="13" r:id="rId33"/>
    <sheet name="P 14" sheetId="7" r:id="rId34"/>
    <sheet name="P 13" sheetId="11" r:id="rId35"/>
    <sheet name="P 12" sheetId="10" r:id="rId36"/>
    <sheet name="P 11" sheetId="9" r:id="rId37"/>
    <sheet name="P9" sheetId="5" r:id="rId38"/>
    <sheet name="P3" sheetId="1" r:id="rId39"/>
    <sheet name="P5" sheetId="37" r:id="rId40"/>
    <sheet name="P6, P7,P8" sheetId="4" r:id="rId41"/>
    <sheet name="P4" sheetId="29" r:id="rId42"/>
    <sheet name="P2" sheetId="2" r:id="rId43"/>
    <sheet name="P1" sheetId="36"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4" l="1"/>
  <c r="K12" i="23"/>
  <c r="K11" i="23"/>
  <c r="K10" i="23"/>
</calcChain>
</file>

<file path=xl/sharedStrings.xml><?xml version="1.0" encoding="utf-8"?>
<sst xmlns="http://schemas.openxmlformats.org/spreadsheetml/2006/main" count="1022" uniqueCount="418">
  <si>
    <t>كود العمل</t>
  </si>
  <si>
    <t>وصف العمل</t>
  </si>
  <si>
    <t>تعليمات تنفيذ عمل الصيانة الوقائية</t>
  </si>
  <si>
    <t>تحذيرات قبل البدء فى تنفيذ الصيانة</t>
  </si>
  <si>
    <t>خطوات التنفيذ :</t>
  </si>
  <si>
    <t>Reviewed :</t>
  </si>
  <si>
    <t>Approved :</t>
  </si>
  <si>
    <t>ارتداء زى و معدات الامن الصناعى قبل بدء العمل</t>
  </si>
  <si>
    <t>التاكد من فصل الكهرباء او وضع السويتش المؤثر على المنول قبل بدء العمل فى صيانة الجزء المطلوب</t>
  </si>
  <si>
    <t>ايقاف الماكينة كليا للكشف على السيلندر المطلوب</t>
  </si>
  <si>
    <t xml:space="preserve">قسمى الفحص و الكباسات           </t>
  </si>
  <si>
    <t>ايقاف جميع حركات الماكينة و فصل ضغوط الهيدروليك للاجزاء المطلوب الكشف عليها</t>
  </si>
  <si>
    <t>غلق بلوف عمومى داخل / راجع الهيدروليك قبل بدء العمل</t>
  </si>
  <si>
    <t>ايقاف الماكينة كليا للكشف على الخرطوم المطلوب</t>
  </si>
  <si>
    <t>غلق بلوف عمومى داخل / راجع الهيدروليك قبل بدء العمل فى الخرطوم المطلوب حلة</t>
  </si>
  <si>
    <t>حل الخرطوم خطوة خطوة مع تصفية الضغط منه و هو راكب على النبل لضمان تصفية اى ضغط به</t>
  </si>
  <si>
    <t>تغير الخرطوم باخر جديد مع الكشف على سلامة نبل التوصيل وتغيرة اذا لزم الامر</t>
  </si>
  <si>
    <t>اختبار الخرطوم لاى تسريبات بعد تثبيتها جيدا</t>
  </si>
  <si>
    <t xml:space="preserve">حل طبة الفلتر خطوة خطوة من مكانها حتى يتم  تصفية اى ضغوط داخلية  </t>
  </si>
  <si>
    <t>يتم تنظيف الفلتر جيدا و التاكد من سلامته قبل تركيبة مرة اخرى</t>
  </si>
  <si>
    <t>يتم فتح ضغوط الهيدروليك لاختبار سلامة الحل و التركيب للفلتر و سلاسة حركة الماكنزمات الهيدروليكية</t>
  </si>
  <si>
    <t>مراجعة حشو سليندرات الهيدروليك بالماكينة</t>
  </si>
  <si>
    <t>ايقاف جميع حركات الماكينة و فصل ضغوط الهيدروليك عن السليندر المطلوب</t>
  </si>
  <si>
    <t>استعمال اداة الرفع المناسبة لوزن السليندرفى رفع السليندر من مكانة بعد الحل</t>
  </si>
  <si>
    <t>ايقاف الماكينة كليا للكشف على السليندر المطلوب</t>
  </si>
  <si>
    <t>فصل الخرطوم المغذى للسليندر و مراقبة اى تهريب من التجاه المعاكس بعد دفع الهيدروليك الية</t>
  </si>
  <si>
    <t>فى حالة وجود تهريب  يتم فصل و حل السليندر من مكانة و تركيب سليندر جديد بحشو داخلى جديد</t>
  </si>
  <si>
    <t>يتم اختبار السليندر الجديد كما فى الخطوة  2  والكشف عن اى تهريبات من العمود او قاعدة السليندر الجديد</t>
  </si>
  <si>
    <t>بتم توصيل جميع خراطيم  السليندر و تثبيتة فى مكانة و فتح جميع ضغوط الهيدرولبك</t>
  </si>
  <si>
    <t>اختبار حركة السليندر مع الماكينة بعد مراجعة جميع لمات الكهرباء فى الاماكن السليمة</t>
  </si>
  <si>
    <t>مراجعة حالة خراطيم سليندرات الهيدروليك و المواسير و الفلاتر على الخطوط العمومية</t>
  </si>
  <si>
    <t xml:space="preserve">مراجعة حالة خراطيم /وصلات/بلوف دوائر هواء التحكم </t>
  </si>
  <si>
    <t>M3</t>
  </si>
  <si>
    <t>ايقاف جميع حركات الماكينة و فصل وتصفية ضغوط للاجزاء المطلوب الكشف عليها</t>
  </si>
  <si>
    <t>توصيل الكهرباء تحت اشراف الكهربائى المختص لبلوف سولونيدات الهواء</t>
  </si>
  <si>
    <t>تثبيت خراطيم الهواء بصورة جيدة بما لاتتحرك اثناء وجود ضغوط هواء بها</t>
  </si>
  <si>
    <t>غلق بلوف عمومى داخل / راجع الهواء قبل بدء العمل فى الخرطوم المطلوب حلة</t>
  </si>
  <si>
    <t>يتم مراجعة حركة سولونيد الهواءو الوصلات الكهربية ومدى سلامة الوظيفة المطلوبة منه</t>
  </si>
  <si>
    <t>يتم استبدال السولونيد باخ جديد له نفس المواصفات الفنية وتركيبه جيدا واختبار اى تسريبات هواء منه</t>
  </si>
  <si>
    <t xml:space="preserve">تتم تجربة الوصلات الكهربية وسلامة الاشارة الكهربية من كنترول الماكينة </t>
  </si>
  <si>
    <t>مراجعة كافة مواسير الهواء لمنع اى تسريبات قبل الانتقال الى عمل اخر</t>
  </si>
  <si>
    <t>مراجعة حشو بخار الدوم( كل انواع حشو الحلة )وحالة عزل الحلة</t>
  </si>
  <si>
    <t>الكشف على تسريبات و اماكن التهرييات على بعد مناسب من مكان التهريب</t>
  </si>
  <si>
    <t>استعمال واقى اليد (قفاز حرارى) لحماية اليد من الاجزاء الساخنة مع لبس جميع معدادت الامن الصناعى</t>
  </si>
  <si>
    <t>استعمال اداة الرفع المناسبة لرفع اى جزء من حلة بخار الدوم</t>
  </si>
  <si>
    <t>ايقاف الماكينة كليا للكشف على الجزء المطلوب اصلاحة</t>
  </si>
  <si>
    <t>تصفية البخار من حلة الدوم قبل البدء فى حل اى جزء بفتح بلوف درين الدوم الرئيسى 1-1/2"</t>
  </si>
  <si>
    <t>مراجعة مجرى جوان الدوم و تنظيف فتحات دخول البخار بها والزء العلوى لحة الدوم</t>
  </si>
  <si>
    <t>مراجعة حالة الجيوان المعدنى لفتحات حلة الدوم العلوية و مسامير تثبت غطاء الحلة</t>
  </si>
  <si>
    <t>الرباط الجيد لغطاء الحلة لاحداث التوازن المطلوب على جميع اجزاء الجيوان المعدنى</t>
  </si>
  <si>
    <t>التاكد من حالة جيوان ترس الرجلاش وتغيرة اذا لزم الامر</t>
  </si>
  <si>
    <t>مراجعة حشو بخار الحلة العلوية مع الجسم الرئيسى للكباس وتغيره اذا لزم الامر</t>
  </si>
  <si>
    <t>للقيام بالخطوة رقم 7: يلزم استخدام الادوات المناسبة لحل الحلة العلوية من جسم الكباس ونقلة خارج الماكينة</t>
  </si>
  <si>
    <t xml:space="preserve">يتم حل مجموعة مكانزم تروس الرجلاش و تركيب الجوان المعدنى بحرص شديد بعد نظافة وتشحيم جميع الاجزاء المتحركة </t>
  </si>
  <si>
    <t>بعد تركيب الحلة وعند اختبار البخار : يعاد رباط مسامير ربط الحلة العلوية مع جسم الكباس</t>
  </si>
  <si>
    <t>يتم مراجعة العزل الخارجى لحلة الدوم واختبار مدى عزل الكباس بقياس الحرارة الخارجية ولا تزيد عن 15 درجة + درجة حرارة الجو المحيط</t>
  </si>
  <si>
    <t>يتم اصلاح صاج العزل الحرارى لاى خبطات تثبيت اى صاج ليس فى مكانه</t>
  </si>
  <si>
    <t>مراجعة الحالة الفنية لبلف سفتى الدوم</t>
  </si>
  <si>
    <t>فصل وتصفية ضغوط البخار قبل حل اى جزء</t>
  </si>
  <si>
    <t>فصل وتصفية ضغوط البخار قبل حل جزء من حلة الدوم</t>
  </si>
  <si>
    <t xml:space="preserve">تصفية البخار من حلة الدوم قبل البدء فى حل اى جزء </t>
  </si>
  <si>
    <t>حل بلف سفتى البخار و الكشف على جميع اجزاءه وتغير مايلزم تغيرة</t>
  </si>
  <si>
    <t xml:space="preserve">اختبار عمل البلف بفتح ضغط هواء معاير قيمة 5,5 بار ومدى استجابة و سرعة فتح بلف السفتى </t>
  </si>
  <si>
    <t>تركيب بلف سفتى دوم بعد التاكد من سلامة تشغيله 100%</t>
  </si>
  <si>
    <t>زيادة ضغط البخار عن ضغط التشغيل و اختبار ضغط فتح بلف السفتى اكثر من مرة</t>
  </si>
  <si>
    <t>القيام بالخطوة رقم 4 مع رفع قيمة المعايرة الى 6 بار واعادة الخطوات 5&amp;6</t>
  </si>
  <si>
    <t>بعد التاكد من سلامة وقدرة استجابة بلف سفتى الدوم يتم معايرته على ضغط الخطوة رقم 4</t>
  </si>
  <si>
    <t>تركيب بلوف السفتى وتصبح تحت الملاحظة اليومية اثناء فترة تشغيل الماكينة</t>
  </si>
  <si>
    <t>M6</t>
  </si>
  <si>
    <t>مراجعةحالة حساسات الضغوط (برشر سويتش )</t>
  </si>
  <si>
    <t>تصفية البخار من حلة الدوم و البلادرات قبل البدء فى حل اى جزء (جميع الضغوط المتصلة بالبرشر سويتش )</t>
  </si>
  <si>
    <t>فصل مصادر الكهرباء قبل حل ماكنزم البرشر سويتش</t>
  </si>
  <si>
    <t>معايرة البرشر سويتش على الضغوط المحددة بعد فحص جميع اجزاء البرشر والتاكد من سلامة كل الاجزاء الكهربية والميكانيكية وتغير ما يلزم تغيره</t>
  </si>
  <si>
    <t>اختبار البرشر سويتش على ضغوط التشغيل بعد التاكد من سلامة كافة الوصلات الكهربائية و الميكانيكية</t>
  </si>
  <si>
    <t>مراجعة سنترة حلة الدوم العلوية مع سنترة الحلة السفلية و عمود التوب رينج</t>
  </si>
  <si>
    <t>عدم التحرك داخل / خارج الماكينة اثناء اى حركة لماكنزمات الحركة</t>
  </si>
  <si>
    <t>عدم التحرك الى داخل الكباس اثناء فتح او غلق الكباس</t>
  </si>
  <si>
    <t>حل القوالب من الكباس حتى تستطيع تحريك الجزء العلوى للكباس</t>
  </si>
  <si>
    <t>مراجعة تثبيت الحلة السفلية جيدا فى قاعدة الكباس مع مراعاةسلامة المسامير وفتحات التثبيت</t>
  </si>
  <si>
    <t>تركيب ماكنزم ضبط السنترة على هد سليندر الحلة السفلية مع وضع مساند خشبية لحفظ فتحة الكباس بعد تثبيت جسم الحلة العلوية على المساند الخشبية (كتلة خشبية 30x30 سم xطول1,75 متر ) بحيث تكون ارتفاع المساند الخشبية لا يقل عن90 سم بما يسمح بدخول احد لقياس مدى ترحيل زنبة سليندر السكتور عن ماكنزم ضبط السنترة</t>
  </si>
  <si>
    <t>يتم ضبط الحلة العلوية (دفعها ) فى الاتجاه المطلوب لضبط سنترة الحلة العلوية مع الحلة السفلية عن طريق مسمار زنق الحلة مع السايدلنك</t>
  </si>
  <si>
    <t>يتم تكرار الخطوة رقم 5&amp;6 لحين ضبط سنترة الحلة العلوية والسفلية</t>
  </si>
  <si>
    <t>مراجعة صامولة ماكنزم الخرشوفة و حالة عمود الباور سكرو</t>
  </si>
  <si>
    <t>ارتداء زى ومعدادت الامن الصناعى قبل بدء العمل</t>
  </si>
  <si>
    <t xml:space="preserve">عدم التحرك اثناء حركة اللوادر الى داخل / خارج الماكينة </t>
  </si>
  <si>
    <t>وضع ازراع الخرشوفة على برميل لا يقل ارتفاعة 1,5 متر بما يسمح بتحميل ماكنزم الخرشوفة</t>
  </si>
  <si>
    <t>يتم حل صامولة حمل ماكنزم الخرشوفة و مراجعة كلا من السن وحالة الصامولة و الكونتر</t>
  </si>
  <si>
    <t>يتم تركيب الصامولة والكونتر الخاص بها جيدا والتاكد من حمل الصامولة لماكنزم الخرشوفة</t>
  </si>
  <si>
    <t>يتم مراجعة سن الباور سكرو واعادة ربط صواميل  الكونتر العلوية بما يحافظ على وضع الخرشوفة فى الارتفاع السليم</t>
  </si>
  <si>
    <t>يتم تجربة حركة ماكنزم الخرشوفة بوزن الاطارات والتاكد من سلامة الحركة</t>
  </si>
  <si>
    <t>ضبط ومراجعة ريش الخرشوفة</t>
  </si>
  <si>
    <t>يتم مراجعة بكر حركة ذراع الخرشوفة وتغير مايلزم تغيرة</t>
  </si>
  <si>
    <t>يتم مراجعة دليل تفلون تثبيت الخرشوفة وضبط لينات تثبيت زراع الخرشوفة</t>
  </si>
  <si>
    <t>يتم مراجعة بروفيل ذراع الخرشوفة وتصحيح اى اعوجاج به بما لا يؤثر على الاطار</t>
  </si>
  <si>
    <t>ضبط فتحة الخرشوفة بما يناسب فتحة الاطار</t>
  </si>
  <si>
    <t>ضبط سنترة اللوادر مع عمود التوب رنج</t>
  </si>
  <si>
    <t>تركيب زنبة السنترة فى عمود سنترة الخرشوفة</t>
  </si>
  <si>
    <t>ادخال اللوادر فوق عمود التوب رنج مع قياس المسافة بينزنبة الخرشوفة وعمود التوب رنج</t>
  </si>
  <si>
    <t>ضبط سنترة الخرشوفة من المسامير الجانية حتى يضيق الفارق الى اقل من 2مم بين سنترة الخرشوفة وسنتر عمود التوب رنج ويتم كنترة صواميل تثبيت المسامير الجانبية للوادر</t>
  </si>
  <si>
    <t>تكرر الخطوات 4&amp;5  على الخرشوفة الاخرى حتى يتم النترة على الجانبين</t>
  </si>
  <si>
    <t>مراجعة رباط مسامير الماكينة</t>
  </si>
  <si>
    <t>استعمال الادوات المناسبة لربط وحت المسامير</t>
  </si>
  <si>
    <t>تغير اى مسمار غير مطابق للمواصفات الفنية للتشغيل لاى عيوب ظاهرية به</t>
  </si>
  <si>
    <t>ايقاف الماكينة كليا للكشف على العمل فى مراجعة رباط المسامير</t>
  </si>
  <si>
    <t>الكشف عن حالة المسامير الفنية وتغير ما يلزم تغيرة</t>
  </si>
  <si>
    <t>مراجعة الحالة الفنية لفتحات تثبيت المسامير و اصلاح التالف منهم</t>
  </si>
  <si>
    <t>ربط صواميل التجميع مع ربط سوستة الكونتر ووضع الورد المناسبة لمقاس كل صامولة</t>
  </si>
  <si>
    <t>اختبار حركة كل ماكنزم بعد رباط مساميرة واختبار الحركة الكلية للماكينة</t>
  </si>
  <si>
    <t>يراعى استعمال مفتاح عزم رباط كل مسمار كلا حسب مقاسه تبعا للاصول الهندسية</t>
  </si>
  <si>
    <t>مراجعة حالة نقط التشحيم وخطوط التشحيم</t>
  </si>
  <si>
    <t>تفريغ دائرة التشحيم من اى ضغوط قبل بدء العمل فى اى جزء</t>
  </si>
  <si>
    <t>ايقاف الماكينة كليا للكشف على عناصر دائرة التشحيم</t>
  </si>
  <si>
    <t>مراجعة عمل طلمبة التشحيم بصورة فنية جيدة (ضغط/معدل سريان)</t>
  </si>
  <si>
    <t>اختبار كل نقطة تشحيم مع التاكيد على عمل كل بك /بولكة تشحيم وتغير مايلزم تغيره</t>
  </si>
  <si>
    <t>الكشف على محاور ومسارات التشحيم الداخلية و خروج الشحم من المكان الصحيح.</t>
  </si>
  <si>
    <t>مراجعة الخطوط الممتدة من طلمبة التشحيم حتى نقط التشحيم ومنع لى تهريبات من خلال الوصلات والمواسير</t>
  </si>
  <si>
    <t>M13</t>
  </si>
  <si>
    <t>اختبار زيوت الجيربوكس للماكينة للتغير وحالة موانع التسريب به</t>
  </si>
  <si>
    <t>ازالة كافة تسريبات الزيوت بعد انتهاء العمل</t>
  </si>
  <si>
    <t>فصل جميع ضغوط الهواء /الهيدروليك /البخار المحيطة بالجيربوكس قبل بدء العمل فى الصيانة</t>
  </si>
  <si>
    <t>ايقاف الماكينة كليا للكشف على عناصر الجيربوكس</t>
  </si>
  <si>
    <t>تفريغ الزيت فى وعاء مناسب مع اخذ عينة منه للاختبار والتحليل.</t>
  </si>
  <si>
    <t>فصل الجيربوكس عن موتور الحركة الرئيسى مع مراجعة الحالة الفنية لكوبلينج الحركة.</t>
  </si>
  <si>
    <t>مراجعة الحالة الفنية للكراسى والتروس ويفضل تغير جميع كراسى رولمان بلى الحركة باخرى جديدة</t>
  </si>
  <si>
    <t>تغير موانع التسريب باخرى جديدة مع مراعاة التركيب الجيد لها</t>
  </si>
  <si>
    <t>بناء على التحليل الفنى للزيت الخارج من الجيربوكس يحدد توقيت التغير اليالى</t>
  </si>
  <si>
    <t>ايقاف الماكينة كليا للكشف وقياس خلوصات جلب ومحاور الحركة .</t>
  </si>
  <si>
    <t>اختبارخلوصات جلب ومحاور الحركة الماكينة</t>
  </si>
  <si>
    <t>استعمال فلر ذو اسماك متعددة للقياس الدقيق ويراعى قيلس الخلوص فى اكثر من جهة.</t>
  </si>
  <si>
    <t>بعد حل غطاء الجلبة يتم قياس الخلوصات فى اكثر من جهة وتؤخذ القيمة الاكبر على انها خلوص الجلبة .</t>
  </si>
  <si>
    <t>بالنسبة للجلب النحاس :يمكن اخذ قاعدة انه لكل 1" قطر جلبة لها 0,04 مم خلوص . اى انه لجلبة قطر 10 " فان الخلوص يجب ان لايتعدى 0,4  مم</t>
  </si>
  <si>
    <t>يجب مراعاة الكشف على الحالة الفنية لاكس الحركة من حيث التاكل وسلامة القطر وعدم وجود صدأ.</t>
  </si>
  <si>
    <t>يتم تتيل مسامير غطاء الجلبة جيدا بعد احكام التركيب ويتم اختبار وصول الشحم خارجا من الجلبة بعد انهاء العمل</t>
  </si>
  <si>
    <t>مراجعة فلاتر وبلوف عدم راجع دوائر البخار</t>
  </si>
  <si>
    <t>فصل وتصفية جميع انواع الضغوط قبل حل اى جزء.</t>
  </si>
  <si>
    <t>استعمال ادوات الحل المناسبة للتعامل مع بلوف وفلاتر البخار .</t>
  </si>
  <si>
    <t>عدم حل اى بلف / فلتر بخار والجسم مواجه مباشرة للجزء الذى يتم حله, بل يتم الحل والجسم بعيد عن اتجاه اندفاع البخار.</t>
  </si>
  <si>
    <t>تصفية البخار من حلة الدوم والبلادرات قبل البدء فى حل اى جزء مع مراعاة عند حل اى فلتر ان يتم الحل ببطىئ شديد حتى لايندفع اى ضغط  محبوس داخل البلف بصورة مؤثرة على من يقوم بالصيانة .</t>
  </si>
  <si>
    <t>الكشف على الحالة الفنية لبلوف عدم الراجع وسلامة قاعدة البلف من اى تاكل مع تنظيف البلف من اى شوائب.</t>
  </si>
  <si>
    <t>ملراجعة سن طبة الفلتر والتاكد من سلامتة مع مراجعة شبكة الفلتر بعد تنظيفها جيدا .</t>
  </si>
  <si>
    <t>بعد تجميع البلوف يراعى الربط الجيد لمنع اى تهريبات ممكنة عند اماكن التجميع.</t>
  </si>
  <si>
    <t>استعمال ادوات الحل المناسبة للتعامل مع بلوف  البخار .</t>
  </si>
  <si>
    <t>عدم حل اى بلف بخار والجسم مواجه مباشرة للجزء الذى يتم حله, بل يتم الحل والجسم بعيد عن اتجاه اندفاع البخار.</t>
  </si>
  <si>
    <t>مراجعة حالة بلوف تحكم البخار(الدايفرام)</t>
  </si>
  <si>
    <t>حل بلف البخار (الدايفرام) خارجيا للكشف عليه مع استبدالة ببلف تمت صيانتة .</t>
  </si>
  <si>
    <t>يتم صيانة بلف الدايفرام بحل كل مكونات البلف للكشف عليها واستبدال التالف منها .</t>
  </si>
  <si>
    <t>بعد صيانة البلف يتم اختبار البلف على نفس ضغوط التشغيل للتاكد من سلامة حركتة وتشغيلة.</t>
  </si>
  <si>
    <t>بعد تركيب البلف بالماكينة يتم اختبار تشغيل مع دورة تشغيل جافة .</t>
  </si>
  <si>
    <t>مراجعة وحدة تبريد اسطوانة الX-ray</t>
  </si>
  <si>
    <t>تصفية جميع انواع الضغوط قبل بدء العمل فى وحدة التبريد</t>
  </si>
  <si>
    <t>فصل ماكنزم عمل الاشعة الخاص باسطوانة X-ray قبل البدء فى فصل وصلات التبريد الخاصة بها .</t>
  </si>
  <si>
    <t>تصفية المياة من وحدة التبريد قبل البدء فى حل اجزائه.</t>
  </si>
  <si>
    <t>التاكد من سلامة وحدة المبادل الحرارى مع نظافتة التامة وسلامة كافة وصلاتة.</t>
  </si>
  <si>
    <t>التاكد من سلامة موتور ومروحة التبريد.</t>
  </si>
  <si>
    <t>تجميع اجزاء المبادل ووحدة التبريد مع الرباط المحكم لحميع الخراطيم والوصلات.</t>
  </si>
  <si>
    <t>تعبئة المبادل بمياة مقطرة للمحافظة على مواسير المبادل الحرارى من تراكم الاملاح.</t>
  </si>
  <si>
    <t>الناكيد على عمل المبادل الحرارى وتخفيضة للحرارة مع حركة المياة دخول/خروج.</t>
  </si>
  <si>
    <t>مراجعة الحالة الفنية للدايود Diode</t>
  </si>
  <si>
    <t>مراجعة بكر حركة ماكنزم الدايود فى الاتجاهين الافقى والرأسى.</t>
  </si>
  <si>
    <t>التاكيد على سلامة تروس الحركة وسلامة تروس الراك .</t>
  </si>
  <si>
    <t>مراجعة اتزان حركة الدايود الافقية والراسية.</t>
  </si>
  <si>
    <t>مراجعة ماكنزم تروس الحركة الافقى الرئيسى.</t>
  </si>
  <si>
    <t>مراجعة سيور الماكينة</t>
  </si>
  <si>
    <t>التاكد من فصل الكهرباء  قبل بدء العمل فى صيانة السيور.</t>
  </si>
  <si>
    <t>لا يتم السير فوق السيور اثناء حركتة اطلاقا .</t>
  </si>
  <si>
    <t>يتم ضبط اى سير وموتور المحرك مفصولا كهربيا تماما والايدى بعيدة عن مجال حركة السيور ودرافيلة المحركة.</t>
  </si>
  <si>
    <t>مراجعة رولمان بلى دوران رولات السيور مع تغير التالف منها .</t>
  </si>
  <si>
    <t>مراجعة حالة تروس الكاتينة والحالة الفنية لكاتينة الدوران .</t>
  </si>
  <si>
    <t>مراجعة شاسيه حوامل السير مع التاكيد على رباط المسامير .</t>
  </si>
  <si>
    <t>مراجعة حالة جيربوكس دوران السير وحالة موانع التسريب.</t>
  </si>
  <si>
    <t>مراجعة دوائر الهواء العاملة على السير مع منع اى تهريبات من وصلات /خراطيم او سليندرات الهواء</t>
  </si>
  <si>
    <t>مراجعة حالة وحدة فرد الاطار  Spread unit</t>
  </si>
  <si>
    <t>مراجعة رباط مسامير الشاسيه والسلامة الفنية لجميع المسامير  .</t>
  </si>
  <si>
    <t>مراجعة الحالة الفنية لتروس الحركة وسلامة الباور سكرو مع حالة البلى الخطى .</t>
  </si>
  <si>
    <t>مراجعة الحالة الفنية لجلب حركة زراعات فرد الاطارات .</t>
  </si>
  <si>
    <t>مراجعة رولمان بلى عمود ضبط الاتزان مع حالة عمود الاتزان .</t>
  </si>
  <si>
    <t>مراجعة الحالة الفنية لوصلات/سليندر/خراطيم الهواء مع منع اى تهريبات وتغير التالف منها .</t>
  </si>
  <si>
    <t>تشحيم (شحم خفيف )جميع تروس ومجارى الحركةبعد التنظيف التام لوحدة فر الاطار.</t>
  </si>
  <si>
    <t>مراجعة سليندرات هواء الماكينة</t>
  </si>
  <si>
    <t>تصفية ضغوط الهواء قبل البدء فى حل اى سليندر هواء.</t>
  </si>
  <si>
    <t>استعمال اداة الرفع المناسبة لوزن السليندر فى رفع السليندر من مكانة بعد الحل .</t>
  </si>
  <si>
    <t>تثبيت خراطيم الهواء بصورة جيدة بما لا تتحرك اثناء وجود ضغوط هوائية بها.</t>
  </si>
  <si>
    <t>مراجعة رباط تثبيت و القواعد المفصلية لحركة السليندرات مع التاكيد على الحالة الفنية لجلب /بلى المحاور المفصلية   .</t>
  </si>
  <si>
    <t>مراجعة سلامة كلا من عمود/قميص داخلى لسليندر الهواء.</t>
  </si>
  <si>
    <t>التاكيد على سلامة جميع وصلات / خراطيم الهواء الواصلة للسليندر .</t>
  </si>
  <si>
    <t>مراجعة وضبط سرعة السليندر بما يتناسب مع ماكنزم الحركة.</t>
  </si>
  <si>
    <t>مراجعة الحالة الميكانيكية لابواب الماكينة</t>
  </si>
  <si>
    <t>استعمال اداة الرفع المناسبة  فى حل و رباط ماكنزمات نقل الحركة .</t>
  </si>
  <si>
    <t>فصل ماكنزم الحركة عن ابواب الماكينة ومراجعة الحالة الفنية واصلاح اى عيوب ظاهرة بالباب  .</t>
  </si>
  <si>
    <t>مراجعة مجارى حركة الباب ودلايل الحركة الرئيسية.</t>
  </si>
  <si>
    <t>التاكيد على سلامة تروس و كاتين الحركة.</t>
  </si>
  <si>
    <t>مراجعة مؤثر الحركة الجيروموتور/سليندر الهواء مع منع اى تهريبات من من اى منها.</t>
  </si>
  <si>
    <t>مراجعة رباط مسامير تجميع السليندر ومراقبة اى تهريبات من سليندر الهواء واستبدال الحشو التالف بأخر سليم .</t>
  </si>
  <si>
    <t>التاكيد على رباط وسلامة كافة المسامير وتثبيت شاسيه الحركة.</t>
  </si>
  <si>
    <t>تنظيف جميع مجارى الحركة و التشحيم الجيد ( شحم خفيف )</t>
  </si>
  <si>
    <t>مراجعة ماكنزم تيوب ال X-ray</t>
  </si>
  <si>
    <t>التاكد من فصل الكهرباء  قبل بدء العمل فى صيانة الجزء المطلوب</t>
  </si>
  <si>
    <t>تصفية ضغوط الهواء قبل البدء فى حل اى سليندر حركة دوران التيوب.</t>
  </si>
  <si>
    <t>لتجربة اى حركة يجب ان يكون الفنى وجميع اجزاء جسمة بعيدا تماما عن مجال حرمة التيوب والدايود .</t>
  </si>
  <si>
    <t>لتجربة عمل التيوب بالاشعة يجب غلق الماكينة باحكام و متابعة التيوب من خلال النافذة المخصصة لذلك .</t>
  </si>
  <si>
    <t>فصل تيوب الX-ray ومراجعة افيز تثبيت حامل التيوب  .</t>
  </si>
  <si>
    <t>مراجعة السليندر الخاص بهواء حركة التيوب و التاكد على سلامة جميع وصلاتة / الخراطيم.</t>
  </si>
  <si>
    <t>ضبط حركة  ماكنزم التيوب بحيث لاتصطدم بزراعى وحدة ال Spread.</t>
  </si>
  <si>
    <t>مراجعة  رباط مسامير ماكنزم حركة التيوب والتاكيد على تغير التالف منه.</t>
  </si>
  <si>
    <t>مراجعة وضبط سنترة التيوب مع ماكنزم الدايود و الاطار .</t>
  </si>
  <si>
    <t>M24</t>
  </si>
  <si>
    <t xml:space="preserve">مراجعة الحالة الفنية لكاتين الحركة </t>
  </si>
  <si>
    <t>حل وتركيب كاتين الحركة والكهرباء مفصولة تماما عن ماكنزم ادارة الكاتين.</t>
  </si>
  <si>
    <t>التاكيد على فصل محرك كاتين الحركة مع حل الكاتينة خارجيا لمراجعة اى بوش فى بنوز الواصلة و تغير الاجزاء التالفة   .</t>
  </si>
  <si>
    <t>مراجعة  اقفال كاتينة الحركة مع التاكيد على التركيب السليم لها وضبط الطول الكلى بصورة صحيحة .</t>
  </si>
  <si>
    <t>مراجعة اتزان حركة الكاتينة وسلامة حركة الاعمدة والرلمان بلى مع التاكيد على سلامة شداد الكاتينة.</t>
  </si>
  <si>
    <t>مراجعة الحالة الفنية لتروس ادارة الكاتينة وتغيرها باخر جديد فى حالة تاكل اسنانها  مع التاكيد عاى حالة  رولمان بلى الحركة واعمدة الادارة.</t>
  </si>
  <si>
    <t>M25</t>
  </si>
  <si>
    <t>مراجعة حالة رشاشات ماكينة الغسيل</t>
  </si>
  <si>
    <t>التاكيد على فصل طلمبة الهيدروليك عن المواسير الموصلة للرشاشات قبل البدء فى حل الرشاشات .</t>
  </si>
  <si>
    <t>يتم تنظيف الرشاشات جيدا من اى رواسب والتاكيد على سلامة سن الرشاش .</t>
  </si>
  <si>
    <t>مراجعة  حالة مواسير /خراطيم الضغط العالى الموصلة للرشاشات .</t>
  </si>
  <si>
    <t>اختبار عمل الرشاشات بعد تركيبها بعد مراجعة زاوية الرش وبعد الرشاش عن الجزء المراد رشة.</t>
  </si>
  <si>
    <t>M26</t>
  </si>
  <si>
    <t>مراجعة حالة طلمبة الطرد المركزى الرئيسية</t>
  </si>
  <si>
    <t>استعمال الادوات المناسبة لربط وحل ورفع وتركيب طلمبة الطرد المركزى.</t>
  </si>
  <si>
    <t>ارتداء زى ومعدادت الامن الصناعى قبل بدء العمل.</t>
  </si>
  <si>
    <t>التاكد من فصل الكهرباء  قبل بدء العمل فى صيانة الجزء المطلوب.</t>
  </si>
  <si>
    <t>التاكد من فصل خطوط السحب والطرد بالبلوف المنول قبل البدء فى الطلمبة للصيانة.</t>
  </si>
  <si>
    <t>يتم مراجعة حالة الطلمبة قبل البدء فى ايقافها للصيانة من حيث :تسريبات/صوت حركة الطلمبة/امبير موتور التشغيل/ ضغط الطرد (ضغط الطلمبة).</t>
  </si>
  <si>
    <t>يتم فصل الطلمبة عن الموتور ومراجعة الحالة الفنية لكوبلينج التشغيل مع تغيرة اذا لزم الامر .</t>
  </si>
  <si>
    <t>يتم حل الطلمبة ومراجعة الحالة الفنية لجميع اجزائها مع تغير رولمان بلى وتغير مايلزم تغيرة (الحالة الفنية للريش/حالة عمود الدوران /حالة الجسم الخارجى /خلوصات الريش مع الجسم الداخلى للطلمبة /حالة حشو عمود الدوران  .</t>
  </si>
  <si>
    <t>تجميع وتركيب الطلمبة مع ضبط سنترة الطلمبة aligment مع متور الدوران .</t>
  </si>
  <si>
    <t>تشغيل الطلمبةوقياس كلا من امبيرالموتور وضغط الطلمبة(قبل التشغيل يتم التاكدعلى مستوى خزان السحب ومن فتح كلا من محبس السحب والطرد).</t>
  </si>
  <si>
    <t>يتم مراقبة تشغيل الطلمبة:حيث مراقبة كلا من عداد الضغط مع وجود اصوات غير طبيعية.</t>
  </si>
  <si>
    <t xml:space="preserve"> اخذ قراءات vibration فى التجاهين الافقى والراسى/المحورى للكشف عن كلامن:misligmentاوunbalance والتاكيدعلى حالة  البلى (ان امكن)</t>
  </si>
  <si>
    <t>M27</t>
  </si>
  <si>
    <t>مراجعة حالة طلمبة الدايفرام خاص الكيماويات</t>
  </si>
  <si>
    <t>التاكد من فصل خطوط السحب والطرد بالبلوف المنول قبل البدء فى حل الطلمبة للصيانة.</t>
  </si>
  <si>
    <t>يتم مراجعة حالة الطلمبة قبل البدء فى ايقافها للصيانة من حيث :تسريبات/صوت حركة الطلمبة/ ضغط الطرد (ضغط الطلمبة).</t>
  </si>
  <si>
    <t>يتم فصل الطلمبة عن مصدر تحكم الهواء والبدء فى حل كافة مكوناتها  ومراجعة الحالة الفنية  مع تغيرما  يلزم تغيرة.</t>
  </si>
  <si>
    <t>يتم مراجعة الحالة الفنية لسلونيدات الهواء والتاكيد على قيم ضغط هواء التشغيل.</t>
  </si>
  <si>
    <t>تجميع وتركيب الطلمبة مع التاكيد على رباط وتجميع اجزاء الطلمبة بصورة سليمة و رباط كافة المسامير .</t>
  </si>
  <si>
    <t>تشغيل الطلمبة مع قياس معدل السريان المناسب لضغط التشغيل وسلامة الحركة الترددية لدايفرام الطلمبة.</t>
  </si>
  <si>
    <t>M28</t>
  </si>
  <si>
    <t>مراجعة حالة وماكنزم خزان ماكينة الغسيل</t>
  </si>
  <si>
    <t>فصل خطوط تغذية الخزان (التنك) مع فتح بوابات الخزان قبل البدء فى مراجعته.</t>
  </si>
  <si>
    <t xml:space="preserve"> فصل ادوات تحكم الكهرباء قبل البدا فى اجراء صيانة ومراجعة الخزان.</t>
  </si>
  <si>
    <t>فصل البخار عن دائرة المبادل الحرارى وتصفية ضغط البخار منه قبل بدء العمل.</t>
  </si>
  <si>
    <t>تفريغ الخزان من المحلول / السائل فى اوعية خاصة ثم كشف جميع فتحات صيانة الخزان .</t>
  </si>
  <si>
    <t>الكشف على ارضية وجوانب الخزان وازالة اى رواسب للكشف عن اى ثقوب لاصلاحها.</t>
  </si>
  <si>
    <t>الكشف عن حالة المبادل الحرارى (ان وجد)ومدى سلامة الحالة الفنية له وعدم وجود اى تسريبات منه.</t>
  </si>
  <si>
    <t>تجميع ووغلق جميع فتحات ولوازم الخزان وضبط عمل flow conrol float للخزان مع دائرة ملىء الخزان .</t>
  </si>
  <si>
    <t>يتم غسل الخزان بالمياة والتاكيد على مدى سلامة عملة.</t>
  </si>
  <si>
    <t>مراجعة وفلترة وحدة الهيدروليك</t>
  </si>
  <si>
    <t>المحافظة على نظافة المكان من اى تسريبات زيوت محتملة اثناء وبعد العمل .؟</t>
  </si>
  <si>
    <t>ايقاف وفصل وحدة الهيدروليك قبل بدء العمل فى فلترة زيوت الوحدة ويراعى سلامة وحدة فلتر الزيت ويفضل ان تكون جديدة لضمان جودة عملية التنظيف وفلترة زيوت الوحدة .</t>
  </si>
  <si>
    <t>توقيت الفترة الفترة يعتمد على معدل سريان الطلمبة المسئولة عن سريان الزيت ويفضل ان يفلتر الزيت باكملة اكثر من ثلاث مرات للتاكيد على سلامتة (فرق الضغط قبل وبعد الفلتر اصغر مايمكن حتى تتاكد من سلامة الزيت ).</t>
  </si>
  <si>
    <t>يتم فصل وحدة الفلترة بعد الانتهاء من عملية الفلترة والتاكيد على غلق جميع منافذوحدة الهيدروليك لكى لاتتسرب اى شوائب الى داخل الوحدة تلوث الزيت بعد اتمام تنقيتة.</t>
  </si>
  <si>
    <t>M30</t>
  </si>
  <si>
    <t>مراجعة الحالة الفنية للمصعد</t>
  </si>
  <si>
    <t>استعمال الادوات المناسبة لربط وحل ماكنزمات الحركة.</t>
  </si>
  <si>
    <t>التاكيد على الحالة الفنية لكاتينة حركة المصعدوتغيرها فى حالة وجود بوش كبير فى بنوز الواصلة بين اجزاء الكاتينة   .</t>
  </si>
  <si>
    <t>يتم التاكيد على الحالة الفنية لتروس نقل حركة كاتينة المصعد وتغيرها اذا لزم الامر .</t>
  </si>
  <si>
    <t xml:space="preserve">يتم التاكيد على حالة الجيربوكس وعمل جميع موانع تسريبات زيوت تبريد الجيربوكس مع مراجعة الحالة الفنية لكوبلينج نقل الحركة من الموتور وقياس امبير الموتور للتاكيد على سلامة ماكنزم حركة المصعد. </t>
  </si>
  <si>
    <t>يتم مراجعة دلايل حركة المصعد واصلاح اى تاكل بهم .</t>
  </si>
  <si>
    <t>يتم مراجعة ماكنزم نقل الاطار والحلة الفنية لرولات الدوران وسير نقل الحركة مع التاكيد على سلامة روابط السير مع دلايل المصعد.</t>
  </si>
  <si>
    <t xml:space="preserve">اختبار حركة المصعد للسرعات البطيئة / السريعة ومدى سلامة الحركة مع قياس امبير موتور التشغيل للتاكد من انه فى الجدود المسموح بها </t>
  </si>
  <si>
    <t xml:space="preserve">مراجعة الحالة الفنية للسيور خلف الكباسات unloadimg conveyor </t>
  </si>
  <si>
    <t>M31</t>
  </si>
  <si>
    <t>تصفية ضغوط الهواء قبل البدء فى حل اى سليندر هواء تحكم البوابات.</t>
  </si>
  <si>
    <t>مراجعة الحالة الفنية لبكر فرامل السيور وضبط حركة الرولات معها .</t>
  </si>
  <si>
    <t>مراجعة دائرة هواء تشغيل فتح/ غلق بوابة السير مع مراجعة كافة الوصلات /الخراتيم/منع اى تهريبات .</t>
  </si>
  <si>
    <t>مراجعة رباط مسامير تثبيت شاسيه حامل السير مع التاكيد على سلامة جميع كراسى الدوران والرولمان بلى .</t>
  </si>
  <si>
    <t>مراجعة الحالة الفنية لرولات السير وسلامة حركتها مع تغير اى بلى او اصلاح اى عيب بها.</t>
  </si>
  <si>
    <t>مراجعة حالة التروس وماكنزمات الحركة</t>
  </si>
  <si>
    <t>استعمال الادوات المناسبة لربط وحل ماكنزمات نقل الحركة.</t>
  </si>
  <si>
    <t>المحافظة على نظافة المكان من اى تسريبات زيوت محتملة اثناء وبعد العمل.</t>
  </si>
  <si>
    <t>الكشف على الحالة الفنية لتروس الحركة وسلامة التروس من اى تاكل او اجهادات ميكانيكية.</t>
  </si>
  <si>
    <t>مراجعة جميع محاور /كراسى /اعمدة الدوران وتغير ما يلزم تغيرة .</t>
  </si>
  <si>
    <t>الكشف على سلامة دوائر التشحيم /التزيت الخاص بتقليل الاحتكاك على التروس .</t>
  </si>
  <si>
    <t>التنظيف الجيد لكافة الاجزاء المتحركة ثم يتم تشحيم الاجزاء المتحركة.</t>
  </si>
  <si>
    <t>يراعى مراجعة التثبيت الجيد لكافة الرباطات  للمسامير /والصواميل وسلامة الشاسيه الحامل لكافة الاجزاء المكانيكية.</t>
  </si>
  <si>
    <t>مراجعة الحالة الفنية لماكنزم السام بماكينة اختبار الاتزان</t>
  </si>
  <si>
    <t>M33</t>
  </si>
  <si>
    <t>مراجعة رولمان بلى /كوبلينج نقل الحركة من الموتور الى وحدات حركة السام الافقية و الراسية.</t>
  </si>
  <si>
    <t>مراجعة كافة رباطات تثبيت المسامير مع التاكيد على نظاقة وحدة السام والتشحيم الجيد لكل اجزاءه المتحركة.</t>
  </si>
  <si>
    <t>مراجعة الحالة الفنية لبلور سكرو نقل الحركة الافقية والراسية مع حالة البلى الخطى.</t>
  </si>
  <si>
    <t>مراجعة امبير موتور التشغيل فى القيم المسموح بها.</t>
  </si>
  <si>
    <t>مراجعة الحالة الفنية لسليندرات هيدروليك الحركة مع التاكيد على سلامة وحدة هيدروليك التشغيل بكافة عناصرها.</t>
  </si>
  <si>
    <t>اختبار تشغيل ماكنزم السام مع  uniformity cycle tire check .</t>
  </si>
  <si>
    <t>مراجعة الحالة الفنية لماكنزم التارة والسير المحرك لموتور الحركة الرئيسى</t>
  </si>
  <si>
    <t>M34</t>
  </si>
  <si>
    <t>يتم ضبط اى سير والموتور المكرك له مفصول كهربيا تماما و الايدى بعيدة عن مجال السيور.</t>
  </si>
  <si>
    <t>حل تارة Pulley نقل الحركة من مكانها للكشف على اتزانها وسلامة اسنانها لتؤام timing belt مع ضبط كامل الاتزان عند سرعة 2000 rpm للتاكيد على سلامتها للدوران عند هذه السرعة بدون اى احمال اضافية.</t>
  </si>
  <si>
    <t>يتم تغير سير نقل الحركة timing belt باخر جديد له نفس المواصفات الفنية مع ضبط شدة .</t>
  </si>
  <si>
    <t>يتم ضبط انحراف misligment التارة مع موتور التشغيل مع ماكنزم الroad wheel مع التاكيد على رباط مسامير شاسيه التارة.</t>
  </si>
  <si>
    <t>مراجعة امبير موتور الدوران مع الاحمال الطبيعية للماكينة .</t>
  </si>
  <si>
    <t>قبل التشغيل النهائى يتم النظافة الجيدة والتشحيم لكل محاور /اعمدة /بلى الدوران.</t>
  </si>
  <si>
    <t>M35</t>
  </si>
  <si>
    <t>عمرة شاملة لماكنزم اللود ويل للتشحيم ومراجعة الرولمان بلى</t>
  </si>
  <si>
    <t>استعمال اداة الرفع المناسبة  لوزن اللود ويل وتحيكها من مكانها .</t>
  </si>
  <si>
    <t>يتم فصل اللود ويل load road wheel من ماكنزم اللود سيل load  cell قبل البدء فى حل اللود ويل من مكانها .</t>
  </si>
  <si>
    <t>يتم تجهيز القاعدة المتحركة مع ونش الرفع قبل حل اى مسمار وتحميل اللود ويل عليها .</t>
  </si>
  <si>
    <t>يتم نظافة الرولمان بلى والكشف الظاهرى عليها واعادة تشحيمها مع التاكيد على الحالة الفنية لكراسى التثبيت /شاسيه التجميع.</t>
  </si>
  <si>
    <t>التاكيد على رباطات مسامير التجميع وتثبيت اللود وبل بصورة جيدة فى مكانها .</t>
  </si>
  <si>
    <t>ربط اللود ويل على ماكنزم الدوران وقياس امبير التشغيل مع احمال الماكينة العادية.</t>
  </si>
  <si>
    <t>فى حالة توافر اجهزة  vibration يتم اخذ قراءات فى كل الاتجاهات للكشف على اتزان الدوران /سلامة الرولمان بلى.</t>
  </si>
  <si>
    <t>Issue No. :  1</t>
  </si>
  <si>
    <t>Page :   35/35</t>
  </si>
  <si>
    <t>Page :   34/35</t>
  </si>
  <si>
    <t>Page :  1/35</t>
  </si>
  <si>
    <t>Page :   2/35</t>
  </si>
  <si>
    <t>Page :   3/35</t>
  </si>
  <si>
    <t>Page :   4/35</t>
  </si>
  <si>
    <t>Page :   5/35</t>
  </si>
  <si>
    <t>Page :   6/35</t>
  </si>
  <si>
    <t>Page :  7/35</t>
  </si>
  <si>
    <t>Page :   8/35</t>
  </si>
  <si>
    <t>Page :   9/35</t>
  </si>
  <si>
    <t>Page :   10/35</t>
  </si>
  <si>
    <t>Page :   11/35</t>
  </si>
  <si>
    <t>Page :   12/35</t>
  </si>
  <si>
    <t>Page :   13/35</t>
  </si>
  <si>
    <t>Page :   14/35</t>
  </si>
  <si>
    <t>Page :   15/35</t>
  </si>
  <si>
    <t>Page :   16/35</t>
  </si>
  <si>
    <t>Page :   17/35</t>
  </si>
  <si>
    <t>Page :   18/35</t>
  </si>
  <si>
    <t>Page :   19/35</t>
  </si>
  <si>
    <t>Page :   20/35</t>
  </si>
  <si>
    <t>Page :  21/35</t>
  </si>
  <si>
    <t>Page :   22/35</t>
  </si>
  <si>
    <t>Page :   23/35</t>
  </si>
  <si>
    <t>Page :  24/35</t>
  </si>
  <si>
    <t>Page :   25/35</t>
  </si>
  <si>
    <t>Page :   26/35</t>
  </si>
  <si>
    <t>Page :   27/35</t>
  </si>
  <si>
    <t>Page :   28/35</t>
  </si>
  <si>
    <t>Page :   29/35</t>
  </si>
  <si>
    <t>Page :   30/35</t>
  </si>
  <si>
    <t>Page :   31/35</t>
  </si>
  <si>
    <t>Page :   32/35</t>
  </si>
  <si>
    <t>Page :   33/35</t>
  </si>
  <si>
    <t>Date :31/12/2023</t>
  </si>
  <si>
    <t xml:space="preserve">Issued :                Ahmed Moassd </t>
  </si>
  <si>
    <t>P2</t>
  </si>
  <si>
    <t>P3</t>
  </si>
  <si>
    <t>P6&amp;P7&amp;P8</t>
  </si>
  <si>
    <t xml:space="preserve">مراجعة حشو سليندرات top ring </t>
  </si>
  <si>
    <t>ايقاف جميع حركات الماكينة و فصل ضغوط الهيدروليك عن السليندرtop ring  المطلوب</t>
  </si>
  <si>
    <t>P1</t>
  </si>
  <si>
    <t>P9</t>
  </si>
  <si>
    <t>P11</t>
  </si>
  <si>
    <t>P17</t>
  </si>
  <si>
    <t>P 15</t>
  </si>
  <si>
    <t>P14</t>
  </si>
  <si>
    <t>P12</t>
  </si>
  <si>
    <t>P13</t>
  </si>
  <si>
    <t>P 18</t>
  </si>
  <si>
    <t>P23</t>
  </si>
  <si>
    <t>P21</t>
  </si>
  <si>
    <t>P 22</t>
  </si>
  <si>
    <t>P5</t>
  </si>
  <si>
    <t>P4</t>
  </si>
  <si>
    <t>مراجعة مجرى جوان الدوم جاسكت</t>
  </si>
  <si>
    <t xml:space="preserve">فتح الكباس والوضع علي المانيوال </t>
  </si>
  <si>
    <t xml:space="preserve">التأكد من سلامة جوانات الخاصة بالحالة في الجانينين الأيمن و الايسر </t>
  </si>
  <si>
    <t xml:space="preserve">تغير الجوان ان لزم الامر </t>
  </si>
  <si>
    <t xml:space="preserve">استعمال اداة المناسبة للعمل </t>
  </si>
  <si>
    <t>ايقاف جميع حركات الماكينة و فصل ضغوط الهيدروليك</t>
  </si>
  <si>
    <t>P 19</t>
  </si>
  <si>
    <t>مراجعة فلاتر دائرة الطبخ</t>
  </si>
  <si>
    <t xml:space="preserve">ايقاف الماكينة كليا </t>
  </si>
  <si>
    <t xml:space="preserve">غلق جميع خطوط تغذية الكباس </t>
  </si>
  <si>
    <t>تصفية الخطوط من أي بخار او مياه ساخنة ز</t>
  </si>
  <si>
    <t xml:space="preserve">حل جميع الفلاتر و تنظيفها و تغيرها اذا استدعي  الامر </t>
  </si>
  <si>
    <t>مراجعة جشو بلوف الفاكيوم والدرين</t>
  </si>
  <si>
    <t>P 20</t>
  </si>
  <si>
    <t xml:space="preserve">التأكد من جميع البلوف والتأكد من سلامة الدايفرامات الخاصة بها </t>
  </si>
  <si>
    <t xml:space="preserve">تجربة جميع البلوف و التأكد من جميع الحركات </t>
  </si>
  <si>
    <t>X2</t>
  </si>
  <si>
    <t>X7</t>
  </si>
  <si>
    <t>X3</t>
  </si>
  <si>
    <t>X9</t>
  </si>
  <si>
    <t>X11</t>
  </si>
  <si>
    <t>X12</t>
  </si>
  <si>
    <t>X</t>
  </si>
  <si>
    <t>X1</t>
  </si>
  <si>
    <t>check air setting (air regulators &amp; filter)</t>
  </si>
  <si>
    <t>فصل ماكنزم عمل الاشعة الخاص باسطوانة X-ray</t>
  </si>
  <si>
    <t xml:space="preserve">الكشف علي الهواء من وحدة الريجلاتور و الفلاتر </t>
  </si>
  <si>
    <t>تصفية جميع انواع الضغوط قبل بدء العمل فى وحدة  الهواء</t>
  </si>
  <si>
    <t xml:space="preserve">إيقاف جميع حركات الماكينة </t>
  </si>
  <si>
    <t>غلق بلف الهواء العمومي الداخل للماكينة</t>
  </si>
  <si>
    <t xml:space="preserve">التأكد من جميع الوصلات دخول و خروج من الريجلاتور </t>
  </si>
  <si>
    <t xml:space="preserve">تغير فلاتر الهواء الخاصى بالريجلاتور </t>
  </si>
  <si>
    <t xml:space="preserve">فتج الهواء و التأكد من عدم وجد تسؤيب هواء في وصلات او ناحية الفلتر </t>
  </si>
  <si>
    <t>clean , grease, lub. Diode carriages.</t>
  </si>
  <si>
    <t>X4</t>
  </si>
  <si>
    <t xml:space="preserve">فصل الهواء العمومي للماكينة </t>
  </si>
  <si>
    <t xml:space="preserve">إيقاف جميع الحركات </t>
  </si>
  <si>
    <t xml:space="preserve">إزالة جميع الشحم الموجود علي مجموعة حامل الدايود و تنظيفها </t>
  </si>
  <si>
    <t xml:space="preserve">تشحيم عربة الدايود </t>
  </si>
  <si>
    <t>فتح الهواء و التأكد من جميع جركات عربة الدايود وعملها بحالة جيدة</t>
  </si>
  <si>
    <t>X6</t>
  </si>
  <si>
    <t>X5</t>
  </si>
  <si>
    <t>clean &amp; lub. Holder (tyre holder, R &amp; L )</t>
  </si>
  <si>
    <t>إزالة جميع الشحم الموجود علي مجموعة حامل الاطار</t>
  </si>
  <si>
    <t>تشحيم حامل الاطار</t>
  </si>
  <si>
    <t>فتح الهواء و التأكد من جميع جركات حامل الاطار وعملها بحالة جيدة</t>
  </si>
  <si>
    <t>تنظيف الكتاين</t>
  </si>
  <si>
    <t xml:space="preserve">وضع الماكينة علي مانيوال </t>
  </si>
  <si>
    <t xml:space="preserve">تنظيف وإزالة الشحم القديم الموجود علي الكتاين </t>
  </si>
  <si>
    <t xml:space="preserve">مراجعة الكتاين و تغيرها اذا تطلب الامر </t>
  </si>
  <si>
    <t xml:space="preserve">تشحيم الكتاين جيدا </t>
  </si>
  <si>
    <t xml:space="preserve">تشغيل الكتاين و التأكد من عدم وجود شحم زائد او أي صوت عالي بالكتينة </t>
  </si>
  <si>
    <t>X10</t>
  </si>
  <si>
    <t xml:space="preserve">التأكد من رباط الصواميل </t>
  </si>
  <si>
    <t xml:space="preserve">مراجعة جميع الصواميل و المسامير و تغير التالف اذا وجد </t>
  </si>
  <si>
    <t xml:space="preserve">مراجعة جميع االكابلن و التأكد من سلامتها و التغير اذا تطلب الامر </t>
  </si>
  <si>
    <t xml:space="preserve">تشغيل الماكينة و التأكد من جميع الحركات </t>
  </si>
  <si>
    <t>X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</si>
</sst>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8"/>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sz val="18"/>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s>
  <fills count="2">
    <fill>
      <patternFill patternType="none"/>
    </fill>
    <fill>
      <patternFill patternType="gray125"/>
    </fill>
  </fills>
  <borders count="27">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medium">
        <color auto="1"/>
      </right>
      <top style="medium">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double">
        <color auto="1"/>
      </right>
      <top style="double">
        <color auto="1"/>
      </top>
      <bottom style="medium">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double">
        <color auto="1"/>
      </right>
      <top style="medium">
        <color auto="1"/>
      </top>
      <bottom style="double">
        <color auto="1"/>
      </bottom>
      <diagonal/>
    </border>
    <border>
      <left style="double">
        <color auto="1"/>
      </left>
      <right/>
      <top style="double">
        <color auto="1"/>
      </top>
      <bottom style="medium">
        <color auto="1"/>
      </bottom>
      <diagonal/>
    </border>
    <border>
      <left/>
      <right style="medium">
        <color auto="1"/>
      </right>
      <top style="double">
        <color auto="1"/>
      </top>
      <bottom style="medium">
        <color auto="1"/>
      </bottom>
      <diagonal/>
    </border>
    <border>
      <left style="double">
        <color auto="1"/>
      </left>
      <right/>
      <top style="medium">
        <color auto="1"/>
      </top>
      <bottom style="double">
        <color auto="1"/>
      </bottom>
      <diagonal/>
    </border>
    <border>
      <left/>
      <right style="medium">
        <color auto="1"/>
      </right>
      <top style="medium">
        <color auto="1"/>
      </top>
      <bottom style="double">
        <color auto="1"/>
      </bottom>
      <diagonal/>
    </border>
  </borders>
  <cellStyleXfs count="1">
    <xf numFmtId="0" fontId="0" fillId="0" borderId="0"/>
  </cellStyleXfs>
  <cellXfs count="73">
    <xf numFmtId="0" fontId="0" fillId="0" borderId="0" xfId="0"/>
    <xf numFmtId="0" fontId="0" fillId="0" borderId="3" xfId="0" applyBorder="1"/>
    <xf numFmtId="0" fontId="3" fillId="0" borderId="0" xfId="0" applyFont="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center" vertical="top"/>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6" fillId="0" borderId="23"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9" fillId="0" borderId="25"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6" xfId="0" applyFont="1" applyBorder="1" applyAlignment="1">
      <alignment horizontal="center" vertical="center" wrapText="1"/>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 xfId="0" applyFont="1" applyBorder="1" applyAlignment="1">
      <alignment horizontal="center"/>
    </xf>
    <xf numFmtId="0" fontId="4" fillId="0" borderId="1" xfId="0" applyFont="1" applyBorder="1" applyAlignment="1">
      <alignment horizontal="right"/>
    </xf>
    <xf numFmtId="0" fontId="4" fillId="0" borderId="2" xfId="0" applyFont="1" applyBorder="1" applyAlignment="1">
      <alignment horizontal="right"/>
    </xf>
    <xf numFmtId="0" fontId="2" fillId="0" borderId="4" xfId="0" applyFont="1" applyBorder="1" applyAlignment="1">
      <alignment vertical="center"/>
    </xf>
    <xf numFmtId="0" fontId="2" fillId="0" borderId="0" xfId="0" applyFont="1" applyAlignment="1">
      <alignment vertical="center"/>
    </xf>
    <xf numFmtId="0" fontId="0" fillId="0" borderId="0" xfId="0" applyAlignment="1">
      <alignment horizontal="center"/>
    </xf>
    <xf numFmtId="0" fontId="2" fillId="0" borderId="4" xfId="0" applyFont="1" applyBorder="1" applyAlignment="1">
      <alignment horizontal="right" vertical="center"/>
    </xf>
    <xf numFmtId="0" fontId="2" fillId="0" borderId="0" xfId="0" applyFont="1" applyAlignment="1">
      <alignment horizontal="right" vertical="center"/>
    </xf>
    <xf numFmtId="0" fontId="5" fillId="0" borderId="0" xfId="0" applyFont="1" applyAlignment="1">
      <alignment horizontal="right" vertical="center"/>
    </xf>
    <xf numFmtId="0" fontId="2" fillId="0" borderId="4" xfId="0" applyFont="1" applyBorder="1" applyAlignment="1">
      <alignment horizontal="right" vertical="center" wrapText="1"/>
    </xf>
    <xf numFmtId="0" fontId="2" fillId="0" borderId="0" xfId="0" applyFont="1" applyAlignment="1">
      <alignment horizontal="right" vertical="center" wrapText="1"/>
    </xf>
    <xf numFmtId="0" fontId="0" fillId="0" borderId="0" xfId="0" applyAlignment="1">
      <alignment horizontal="right" vertical="center"/>
    </xf>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1" xfId="0" applyFont="1" applyBorder="1" applyAlignment="1">
      <alignment horizontal="left" vertical="top"/>
    </xf>
    <xf numFmtId="0" fontId="9" fillId="0" borderId="3" xfId="0" applyFont="1" applyBorder="1" applyAlignment="1">
      <alignment horizontal="left" vertical="top"/>
    </xf>
    <xf numFmtId="0" fontId="9" fillId="0" borderId="4" xfId="0" applyFont="1" applyBorder="1" applyAlignment="1">
      <alignment horizontal="left" vertical="top"/>
    </xf>
    <xf numFmtId="0" fontId="9" fillId="0" borderId="5" xfId="0" applyFont="1" applyBorder="1" applyAlignment="1">
      <alignment horizontal="left" vertical="top"/>
    </xf>
    <xf numFmtId="0" fontId="9" fillId="0" borderId="6" xfId="0" applyFont="1" applyBorder="1" applyAlignment="1">
      <alignment horizontal="left" vertical="top"/>
    </xf>
    <xf numFmtId="0" fontId="9" fillId="0" borderId="8" xfId="0" applyFont="1" applyBorder="1" applyAlignment="1">
      <alignment horizontal="left" vertical="top"/>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0" fontId="2" fillId="0" borderId="4" xfId="0" applyFont="1" applyBorder="1" applyAlignment="1">
      <alignment horizontal="right"/>
    </xf>
    <xf numFmtId="0" fontId="2" fillId="0" borderId="0" xfId="0" applyFont="1" applyAlignment="1">
      <alignment horizontal="right"/>
    </xf>
    <xf numFmtId="0" fontId="1" fillId="0" borderId="4" xfId="0" applyFont="1" applyBorder="1" applyAlignment="1">
      <alignment horizontal="right" vertical="center"/>
    </xf>
    <xf numFmtId="0" fontId="1" fillId="0" borderId="4" xfId="0" applyFont="1" applyBorder="1" applyAlignment="1">
      <alignment horizontal="right" vertical="center" wrapText="1"/>
    </xf>
    <xf numFmtId="0" fontId="4" fillId="0" borderId="17"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6" fillId="0" borderId="23" xfId="0" applyFont="1" applyBorder="1" applyAlignment="1">
      <alignment horizontal="center"/>
    </xf>
    <xf numFmtId="0" fontId="6" fillId="0" borderId="18" xfId="0" applyFont="1" applyBorder="1" applyAlignment="1">
      <alignment horizontal="center"/>
    </xf>
    <xf numFmtId="0" fontId="6" fillId="0" borderId="24" xfId="0" applyFont="1" applyBorder="1" applyAlignment="1">
      <alignment horizontal="center"/>
    </xf>
    <xf numFmtId="0" fontId="1" fillId="0" borderId="4" xfId="0" applyFont="1" applyBorder="1" applyAlignment="1">
      <alignment horizontal="right"/>
    </xf>
    <xf numFmtId="0" fontId="9" fillId="0" borderId="25" xfId="0" applyFont="1" applyBorder="1" applyAlignment="1">
      <alignment horizontal="center" vertical="center"/>
    </xf>
    <xf numFmtId="0" fontId="9" fillId="0" borderId="21" xfId="0" applyFont="1" applyBorder="1" applyAlignment="1">
      <alignment horizontal="center" vertical="center"/>
    </xf>
    <xf numFmtId="0" fontId="9" fillId="0" borderId="2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294</v>
      </c>
      <c r="D4" s="19"/>
      <c r="E4" s="19"/>
      <c r="F4" s="19"/>
      <c r="G4" s="19"/>
      <c r="H4" s="19"/>
      <c r="I4" s="20"/>
      <c r="J4" s="21" t="s">
        <v>0</v>
      </c>
      <c r="K4" s="22"/>
      <c r="L4" s="22"/>
      <c r="M4" s="23"/>
    </row>
    <row r="5" spans="2:13" ht="24" customHeight="1" thickBot="1" x14ac:dyDescent="0.35">
      <c r="B5" s="14"/>
      <c r="C5" s="24" t="s">
        <v>295</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296</v>
      </c>
      <c r="C9" s="37"/>
      <c r="D9" s="37"/>
      <c r="E9" s="37"/>
      <c r="F9" s="37"/>
      <c r="G9" s="37"/>
      <c r="H9" s="37"/>
      <c r="I9" s="37"/>
      <c r="J9" s="37"/>
      <c r="K9" s="9">
        <v>-2</v>
      </c>
      <c r="L9" s="35"/>
      <c r="M9" s="3"/>
    </row>
    <row r="10" spans="2:13" ht="15.75" x14ac:dyDescent="0.2">
      <c r="B10" s="36" t="s">
        <v>222</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11"/>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26.25" customHeight="1" x14ac:dyDescent="0.2">
      <c r="B19" s="39" t="s">
        <v>297</v>
      </c>
      <c r="C19" s="40"/>
      <c r="D19" s="40"/>
      <c r="E19" s="40"/>
      <c r="F19" s="40"/>
      <c r="G19" s="40"/>
      <c r="H19" s="40"/>
      <c r="I19" s="40"/>
      <c r="J19" s="40"/>
      <c r="K19" s="11">
        <v>-1</v>
      </c>
      <c r="M19" s="3"/>
    </row>
    <row r="20" spans="2:13" ht="18.75" customHeight="1" x14ac:dyDescent="0.2">
      <c r="B20" s="39" t="s">
        <v>298</v>
      </c>
      <c r="C20" s="40"/>
      <c r="D20" s="40"/>
      <c r="E20" s="40"/>
      <c r="F20" s="40"/>
      <c r="G20" s="40"/>
      <c r="H20" s="40"/>
      <c r="I20" s="40"/>
      <c r="J20" s="40"/>
      <c r="K20" s="11">
        <v>-2</v>
      </c>
      <c r="M20" s="3"/>
    </row>
    <row r="21" spans="2:13" ht="16.5" customHeight="1" x14ac:dyDescent="0.2">
      <c r="B21" s="39" t="s">
        <v>299</v>
      </c>
      <c r="C21" s="40"/>
      <c r="D21" s="40"/>
      <c r="E21" s="40"/>
      <c r="F21" s="40"/>
      <c r="G21" s="40"/>
      <c r="H21" s="40"/>
      <c r="I21" s="40"/>
      <c r="J21" s="40"/>
      <c r="K21" s="11">
        <v>-3</v>
      </c>
      <c r="M21" s="3"/>
    </row>
    <row r="22" spans="2:13" ht="14.25" customHeight="1" x14ac:dyDescent="0.2">
      <c r="B22" s="36" t="s">
        <v>300</v>
      </c>
      <c r="C22" s="37"/>
      <c r="D22" s="37"/>
      <c r="E22" s="37"/>
      <c r="F22" s="37"/>
      <c r="G22" s="37"/>
      <c r="H22" s="37"/>
      <c r="I22" s="37"/>
      <c r="J22" s="37"/>
      <c r="K22" s="11">
        <v>-4</v>
      </c>
      <c r="M22" s="3"/>
    </row>
    <row r="23" spans="2:13" ht="15.75" customHeight="1" x14ac:dyDescent="0.2">
      <c r="B23" s="39" t="s">
        <v>301</v>
      </c>
      <c r="C23" s="40"/>
      <c r="D23" s="40"/>
      <c r="E23" s="40"/>
      <c r="F23" s="40"/>
      <c r="G23" s="40"/>
      <c r="H23" s="40"/>
      <c r="I23" s="40"/>
      <c r="J23" s="40"/>
      <c r="K23" s="11">
        <v>-5</v>
      </c>
      <c r="M23" s="3"/>
    </row>
    <row r="24" spans="2:13" ht="15.75" x14ac:dyDescent="0.2">
      <c r="B24" s="36" t="s">
        <v>302</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304</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287</v>
      </c>
      <c r="D4" s="19"/>
      <c r="E4" s="19"/>
      <c r="F4" s="19"/>
      <c r="G4" s="19"/>
      <c r="H4" s="19"/>
      <c r="I4" s="20"/>
      <c r="J4" s="21" t="s">
        <v>0</v>
      </c>
      <c r="K4" s="22"/>
      <c r="L4" s="22"/>
      <c r="M4" s="23"/>
    </row>
    <row r="5" spans="2:13" ht="24" customHeight="1" thickBot="1" x14ac:dyDescent="0.35">
      <c r="B5" s="14"/>
      <c r="C5" s="24" t="s">
        <v>286</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271</v>
      </c>
      <c r="C10" s="37"/>
      <c r="D10" s="37"/>
      <c r="E10" s="37"/>
      <c r="F10" s="37"/>
      <c r="G10" s="37"/>
      <c r="H10" s="37"/>
      <c r="I10" s="37"/>
      <c r="J10" s="37"/>
      <c r="K10" s="9">
        <v>-3</v>
      </c>
      <c r="L10" s="35"/>
      <c r="M10" s="3"/>
    </row>
    <row r="11" spans="2:13" ht="15.75" x14ac:dyDescent="0.2">
      <c r="B11" s="36" t="s">
        <v>288</v>
      </c>
      <c r="C11" s="37"/>
      <c r="D11" s="37"/>
      <c r="E11" s="37"/>
      <c r="F11" s="37"/>
      <c r="G11" s="37"/>
      <c r="H11" s="37"/>
      <c r="I11" s="37"/>
      <c r="J11" s="37"/>
      <c r="K11" s="11">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26.25" customHeight="1" x14ac:dyDescent="0.2">
      <c r="B19" s="39" t="s">
        <v>289</v>
      </c>
      <c r="C19" s="40"/>
      <c r="D19" s="40"/>
      <c r="E19" s="40"/>
      <c r="F19" s="40"/>
      <c r="G19" s="40"/>
      <c r="H19" s="40"/>
      <c r="I19" s="40"/>
      <c r="J19" s="40"/>
      <c r="K19" s="11">
        <v>-1</v>
      </c>
      <c r="M19" s="3"/>
    </row>
    <row r="20" spans="2:13" ht="18.75" customHeight="1" x14ac:dyDescent="0.2">
      <c r="B20" s="39" t="s">
        <v>290</v>
      </c>
      <c r="C20" s="40"/>
      <c r="D20" s="40"/>
      <c r="E20" s="40"/>
      <c r="F20" s="40"/>
      <c r="G20" s="40"/>
      <c r="H20" s="40"/>
      <c r="I20" s="40"/>
      <c r="J20" s="40"/>
      <c r="K20" s="11">
        <v>-2</v>
      </c>
      <c r="M20" s="3"/>
    </row>
    <row r="21" spans="2:13" ht="16.5" customHeight="1" x14ac:dyDescent="0.2">
      <c r="B21" s="39" t="s">
        <v>291</v>
      </c>
      <c r="C21" s="40"/>
      <c r="D21" s="40"/>
      <c r="E21" s="40"/>
      <c r="F21" s="40"/>
      <c r="G21" s="40"/>
      <c r="H21" s="40"/>
      <c r="I21" s="40"/>
      <c r="J21" s="40"/>
      <c r="K21" s="11">
        <v>-3</v>
      </c>
      <c r="M21" s="3"/>
    </row>
    <row r="22" spans="2:13" ht="14.25" customHeight="1" x14ac:dyDescent="0.2">
      <c r="B22" s="36" t="s">
        <v>292</v>
      </c>
      <c r="C22" s="37"/>
      <c r="D22" s="37"/>
      <c r="E22" s="37"/>
      <c r="F22" s="37"/>
      <c r="G22" s="37"/>
      <c r="H22" s="37"/>
      <c r="I22" s="37"/>
      <c r="J22" s="37"/>
      <c r="K22" s="11">
        <v>-4</v>
      </c>
      <c r="M22" s="3"/>
    </row>
    <row r="23" spans="2:13" ht="15.75" customHeight="1" x14ac:dyDescent="0.2">
      <c r="B23" s="39" t="s">
        <v>293</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305</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60"/>
  <sheetViews>
    <sheetView topLeftCell="A32"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279</v>
      </c>
      <c r="D4" s="19"/>
      <c r="E4" s="19"/>
      <c r="F4" s="19"/>
      <c r="G4" s="19"/>
      <c r="H4" s="19"/>
      <c r="I4" s="20"/>
      <c r="J4" s="21" t="s">
        <v>0</v>
      </c>
      <c r="K4" s="22"/>
      <c r="L4" s="22"/>
      <c r="M4" s="23"/>
    </row>
    <row r="5" spans="2:13" ht="24" customHeight="1" thickBot="1" x14ac:dyDescent="0.35">
      <c r="B5" s="14"/>
      <c r="C5" s="24" t="s">
        <v>278</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271</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7.25" customHeight="1" x14ac:dyDescent="0.25">
      <c r="B19" s="36" t="s">
        <v>280</v>
      </c>
      <c r="C19" s="37"/>
      <c r="D19" s="37"/>
      <c r="E19" s="37"/>
      <c r="F19" s="37"/>
      <c r="G19" s="37"/>
      <c r="H19" s="37"/>
      <c r="I19" s="37"/>
      <c r="J19" s="37"/>
      <c r="K19" s="10">
        <v>-1</v>
      </c>
      <c r="M19" s="3"/>
    </row>
    <row r="20" spans="2:13" ht="18.75" customHeight="1" x14ac:dyDescent="0.2">
      <c r="B20" s="39" t="s">
        <v>281</v>
      </c>
      <c r="C20" s="40"/>
      <c r="D20" s="40"/>
      <c r="E20" s="40"/>
      <c r="F20" s="40"/>
      <c r="G20" s="40"/>
      <c r="H20" s="40"/>
      <c r="I20" s="40"/>
      <c r="J20" s="40"/>
      <c r="K20" s="11">
        <v>-2</v>
      </c>
      <c r="M20" s="3"/>
    </row>
    <row r="21" spans="2:13" ht="16.5" customHeight="1" x14ac:dyDescent="0.2">
      <c r="B21" s="39" t="s">
        <v>282</v>
      </c>
      <c r="C21" s="40"/>
      <c r="D21" s="40"/>
      <c r="E21" s="40"/>
      <c r="F21" s="40"/>
      <c r="G21" s="40"/>
      <c r="H21" s="40"/>
      <c r="I21" s="40"/>
      <c r="J21" s="40"/>
      <c r="K21" s="11">
        <v>-3</v>
      </c>
      <c r="M21" s="3"/>
    </row>
    <row r="22" spans="2:13" ht="14.25" customHeight="1" x14ac:dyDescent="0.2">
      <c r="B22" s="36" t="s">
        <v>283</v>
      </c>
      <c r="C22" s="37"/>
      <c r="D22" s="37"/>
      <c r="E22" s="37"/>
      <c r="F22" s="37"/>
      <c r="G22" s="37"/>
      <c r="H22" s="37"/>
      <c r="I22" s="37"/>
      <c r="J22" s="37"/>
      <c r="K22" s="11">
        <v>-4</v>
      </c>
      <c r="M22" s="3"/>
    </row>
    <row r="23" spans="2:13" ht="15.75" customHeight="1" x14ac:dyDescent="0.2">
      <c r="B23" s="39" t="s">
        <v>284</v>
      </c>
      <c r="C23" s="40"/>
      <c r="D23" s="40"/>
      <c r="E23" s="40"/>
      <c r="F23" s="40"/>
      <c r="G23" s="40"/>
      <c r="H23" s="40"/>
      <c r="I23" s="40"/>
      <c r="J23" s="40"/>
      <c r="K23" s="11">
        <v>-5</v>
      </c>
      <c r="M23" s="3"/>
    </row>
    <row r="24" spans="2:13" ht="15.75" x14ac:dyDescent="0.2">
      <c r="B24" s="36" t="s">
        <v>285</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338</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264</v>
      </c>
      <c r="D4" s="19"/>
      <c r="E4" s="19"/>
      <c r="F4" s="19"/>
      <c r="G4" s="19"/>
      <c r="H4" s="19"/>
      <c r="I4" s="20"/>
      <c r="J4" s="21" t="s">
        <v>0</v>
      </c>
      <c r="K4" s="22"/>
      <c r="L4" s="22"/>
      <c r="M4" s="23"/>
    </row>
    <row r="5" spans="2:13" ht="24" customHeight="1" thickBot="1" x14ac:dyDescent="0.35">
      <c r="B5" s="14"/>
      <c r="C5" s="24" t="s">
        <v>263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256</v>
      </c>
      <c r="C10" s="37"/>
      <c r="D10" s="37"/>
      <c r="E10" s="37"/>
      <c r="F10" s="37"/>
      <c r="G10" s="37"/>
      <c r="H10" s="37"/>
      <c r="I10" s="37"/>
      <c r="J10" s="37"/>
      <c r="K10" s="9">
        <v>-3</v>
      </c>
      <c r="L10" s="35"/>
      <c r="M10" s="3"/>
    </row>
    <row r="11" spans="2:13" ht="15.75" x14ac:dyDescent="0.2">
      <c r="B11" s="36" t="s">
        <v>265</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7.25" customHeight="1" x14ac:dyDescent="0.25">
      <c r="B19" s="36" t="s">
        <v>266</v>
      </c>
      <c r="C19" s="37"/>
      <c r="D19" s="37"/>
      <c r="E19" s="37"/>
      <c r="F19" s="37"/>
      <c r="G19" s="37"/>
      <c r="H19" s="37"/>
      <c r="I19" s="37"/>
      <c r="J19" s="37"/>
      <c r="K19" s="10">
        <v>-1</v>
      </c>
      <c r="M19" s="3"/>
    </row>
    <row r="20" spans="2:13" ht="18.75" customHeight="1" x14ac:dyDescent="0.2">
      <c r="B20" s="39" t="s">
        <v>267</v>
      </c>
      <c r="C20" s="40"/>
      <c r="D20" s="40"/>
      <c r="E20" s="40"/>
      <c r="F20" s="40"/>
      <c r="G20" s="40"/>
      <c r="H20" s="40"/>
      <c r="I20" s="40"/>
      <c r="J20" s="40"/>
      <c r="K20" s="11">
        <v>-2</v>
      </c>
      <c r="M20" s="3"/>
    </row>
    <row r="21" spans="2:13" ht="16.5" customHeight="1" x14ac:dyDescent="0.2">
      <c r="B21" s="39" t="s">
        <v>268</v>
      </c>
      <c r="C21" s="40"/>
      <c r="D21" s="40"/>
      <c r="E21" s="40"/>
      <c r="F21" s="40"/>
      <c r="G21" s="40"/>
      <c r="H21" s="40"/>
      <c r="I21" s="40"/>
      <c r="J21" s="40"/>
      <c r="K21" s="11">
        <v>-3</v>
      </c>
      <c r="M21" s="3"/>
    </row>
    <row r="22" spans="2:13" ht="14.25" customHeight="1" x14ac:dyDescent="0.2">
      <c r="B22" s="36" t="s">
        <v>269</v>
      </c>
      <c r="C22" s="37"/>
      <c r="D22" s="37"/>
      <c r="E22" s="37"/>
      <c r="F22" s="37"/>
      <c r="G22" s="37"/>
      <c r="H22" s="37"/>
      <c r="I22" s="37"/>
      <c r="J22" s="37"/>
      <c r="K22" s="11">
        <v>-4</v>
      </c>
      <c r="M22" s="3"/>
    </row>
    <row r="23" spans="2:13" ht="15.75" customHeight="1" x14ac:dyDescent="0.2">
      <c r="B23" s="39"/>
      <c r="C23" s="40"/>
      <c r="D23" s="40"/>
      <c r="E23" s="40"/>
      <c r="F23" s="40"/>
      <c r="G23" s="40"/>
      <c r="H23" s="40"/>
      <c r="I23" s="40"/>
      <c r="J23" s="40"/>
      <c r="K23" s="11"/>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336</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254</v>
      </c>
      <c r="D4" s="19"/>
      <c r="E4" s="19"/>
      <c r="F4" s="19"/>
      <c r="G4" s="19"/>
      <c r="H4" s="19"/>
      <c r="I4" s="20"/>
      <c r="J4" s="21" t="s">
        <v>0</v>
      </c>
      <c r="K4" s="22"/>
      <c r="L4" s="22"/>
      <c r="M4" s="23"/>
    </row>
    <row r="5" spans="2:13" ht="24" customHeight="1" thickBot="1" x14ac:dyDescent="0.35">
      <c r="B5" s="14"/>
      <c r="C5" s="24" t="s">
        <v>255</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256</v>
      </c>
      <c r="C10" s="37"/>
      <c r="D10" s="37"/>
      <c r="E10" s="37"/>
      <c r="F10" s="37"/>
      <c r="G10" s="37"/>
      <c r="H10" s="37"/>
      <c r="I10" s="37"/>
      <c r="J10" s="37"/>
      <c r="K10" s="9">
        <v>-3</v>
      </c>
      <c r="L10" s="35"/>
      <c r="M10" s="3"/>
    </row>
    <row r="11" spans="2:13" ht="15.75" x14ac:dyDescent="0.2">
      <c r="B11" s="36" t="s">
        <v>207</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7.25" customHeight="1" x14ac:dyDescent="0.25">
      <c r="B19" s="36" t="s">
        <v>257</v>
      </c>
      <c r="C19" s="37"/>
      <c r="D19" s="37"/>
      <c r="E19" s="37"/>
      <c r="F19" s="37"/>
      <c r="G19" s="37"/>
      <c r="H19" s="37"/>
      <c r="I19" s="37"/>
      <c r="J19" s="37"/>
      <c r="K19" s="10">
        <v>-1</v>
      </c>
      <c r="M19" s="3"/>
    </row>
    <row r="20" spans="2:13" ht="18.75" customHeight="1" x14ac:dyDescent="0.2">
      <c r="B20" s="39" t="s">
        <v>258</v>
      </c>
      <c r="C20" s="40"/>
      <c r="D20" s="40"/>
      <c r="E20" s="40"/>
      <c r="F20" s="40"/>
      <c r="G20" s="40"/>
      <c r="H20" s="40"/>
      <c r="I20" s="40"/>
      <c r="J20" s="40"/>
      <c r="K20" s="11">
        <v>-2</v>
      </c>
      <c r="M20" s="3"/>
    </row>
    <row r="21" spans="2:13" ht="26.25" customHeight="1" x14ac:dyDescent="0.2">
      <c r="B21" s="39" t="s">
        <v>259</v>
      </c>
      <c r="C21" s="40"/>
      <c r="D21" s="40"/>
      <c r="E21" s="40"/>
      <c r="F21" s="40"/>
      <c r="G21" s="40"/>
      <c r="H21" s="40"/>
      <c r="I21" s="40"/>
      <c r="J21" s="40"/>
      <c r="K21" s="11">
        <v>-3</v>
      </c>
      <c r="M21" s="3"/>
    </row>
    <row r="22" spans="2:13" ht="14.25" customHeight="1" x14ac:dyDescent="0.2">
      <c r="B22" s="36" t="s">
        <v>260</v>
      </c>
      <c r="C22" s="37"/>
      <c r="D22" s="37"/>
      <c r="E22" s="37"/>
      <c r="F22" s="37"/>
      <c r="G22" s="37"/>
      <c r="H22" s="37"/>
      <c r="I22" s="37"/>
      <c r="J22" s="37"/>
      <c r="K22" s="11">
        <v>-4</v>
      </c>
      <c r="M22" s="3"/>
    </row>
    <row r="23" spans="2:13" ht="15.75" customHeight="1" x14ac:dyDescent="0.2">
      <c r="B23" s="39" t="s">
        <v>261</v>
      </c>
      <c r="C23" s="40"/>
      <c r="D23" s="40"/>
      <c r="E23" s="40"/>
      <c r="F23" s="40"/>
      <c r="G23" s="40"/>
      <c r="H23" s="40"/>
      <c r="I23" s="40"/>
      <c r="J23" s="40"/>
      <c r="K23" s="11">
        <v>-5</v>
      </c>
      <c r="M23" s="3"/>
    </row>
    <row r="24" spans="2:13" ht="15.75" x14ac:dyDescent="0.2">
      <c r="B24" s="36" t="s">
        <v>262</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335</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239</v>
      </c>
      <c r="D4" s="19"/>
      <c r="E4" s="19"/>
      <c r="F4" s="19"/>
      <c r="G4" s="19"/>
      <c r="H4" s="19"/>
      <c r="I4" s="20"/>
      <c r="J4" s="21" t="s">
        <v>0</v>
      </c>
      <c r="K4" s="22"/>
      <c r="L4" s="22"/>
      <c r="M4" s="23"/>
    </row>
    <row r="5" spans="2:13" ht="24" customHeight="1" thickBot="1" x14ac:dyDescent="0.35">
      <c r="B5" s="14"/>
      <c r="C5" s="24" t="s">
        <v>240</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241</v>
      </c>
      <c r="C9" s="37"/>
      <c r="D9" s="37"/>
      <c r="E9" s="37"/>
      <c r="F9" s="37"/>
      <c r="G9" s="37"/>
      <c r="H9" s="37"/>
      <c r="I9" s="37"/>
      <c r="J9" s="37"/>
      <c r="K9" s="9">
        <v>-2</v>
      </c>
      <c r="L9" s="35"/>
      <c r="M9" s="3"/>
    </row>
    <row r="10" spans="2:13" ht="15.75" x14ac:dyDescent="0.2">
      <c r="B10" s="36" t="s">
        <v>242</v>
      </c>
      <c r="C10" s="37"/>
      <c r="D10" s="37"/>
      <c r="E10" s="37"/>
      <c r="F10" s="37"/>
      <c r="G10" s="37"/>
      <c r="H10" s="37"/>
      <c r="I10" s="37"/>
      <c r="J10" s="37"/>
      <c r="K10" s="9">
        <v>-3</v>
      </c>
      <c r="L10" s="35"/>
      <c r="M10" s="3"/>
    </row>
    <row r="11" spans="2:13" ht="15.75" x14ac:dyDescent="0.2">
      <c r="B11" s="36" t="s">
        <v>243</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244</v>
      </c>
      <c r="C19" s="37"/>
      <c r="D19" s="37"/>
      <c r="E19" s="37"/>
      <c r="F19" s="37"/>
      <c r="G19" s="37"/>
      <c r="H19" s="37"/>
      <c r="I19" s="37"/>
      <c r="J19" s="37"/>
      <c r="K19" s="10">
        <v>-1</v>
      </c>
      <c r="M19" s="3"/>
    </row>
    <row r="20" spans="2:13" ht="15.75" customHeight="1" x14ac:dyDescent="0.2">
      <c r="B20" s="39" t="s">
        <v>245</v>
      </c>
      <c r="C20" s="40"/>
      <c r="D20" s="40"/>
      <c r="E20" s="40"/>
      <c r="F20" s="40"/>
      <c r="G20" s="40"/>
      <c r="H20" s="40"/>
      <c r="I20" s="40"/>
      <c r="J20" s="40"/>
      <c r="K20" s="11">
        <v>-2</v>
      </c>
      <c r="M20" s="3"/>
    </row>
    <row r="21" spans="2:13" ht="15" customHeight="1" x14ac:dyDescent="0.2">
      <c r="B21" s="39" t="s">
        <v>246</v>
      </c>
      <c r="C21" s="40"/>
      <c r="D21" s="40"/>
      <c r="E21" s="40"/>
      <c r="F21" s="40"/>
      <c r="G21" s="40"/>
      <c r="H21" s="40"/>
      <c r="I21" s="40"/>
      <c r="J21" s="40"/>
      <c r="K21" s="11">
        <v>-3</v>
      </c>
      <c r="M21" s="3"/>
    </row>
    <row r="22" spans="2:13" ht="14.25" customHeight="1" x14ac:dyDescent="0.2">
      <c r="B22" s="36" t="s">
        <v>247</v>
      </c>
      <c r="C22" s="37"/>
      <c r="D22" s="37"/>
      <c r="E22" s="37"/>
      <c r="F22" s="37"/>
      <c r="G22" s="37"/>
      <c r="H22" s="37"/>
      <c r="I22" s="37"/>
      <c r="J22" s="37"/>
      <c r="K22" s="11">
        <v>-4</v>
      </c>
      <c r="M22" s="3"/>
    </row>
    <row r="23" spans="2:13" ht="15.75" customHeight="1" x14ac:dyDescent="0.2">
      <c r="B23" s="39" t="s">
        <v>248</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333</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231</v>
      </c>
      <c r="D4" s="19"/>
      <c r="E4" s="19"/>
      <c r="F4" s="19"/>
      <c r="G4" s="19"/>
      <c r="H4" s="19"/>
      <c r="I4" s="20"/>
      <c r="J4" s="21" t="s">
        <v>0</v>
      </c>
      <c r="K4" s="22"/>
      <c r="L4" s="22"/>
      <c r="M4" s="23"/>
    </row>
    <row r="5" spans="2:13" ht="24" customHeight="1" thickBot="1" x14ac:dyDescent="0.35">
      <c r="B5" s="14"/>
      <c r="C5" s="24" t="s">
        <v>232</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233</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234</v>
      </c>
      <c r="C19" s="37"/>
      <c r="D19" s="37"/>
      <c r="E19" s="37"/>
      <c r="F19" s="37"/>
      <c r="G19" s="37"/>
      <c r="H19" s="37"/>
      <c r="I19" s="37"/>
      <c r="J19" s="37"/>
      <c r="K19" s="10">
        <v>-1</v>
      </c>
      <c r="M19" s="3"/>
    </row>
    <row r="20" spans="2:13" ht="15.75" customHeight="1" x14ac:dyDescent="0.2">
      <c r="B20" s="39" t="s">
        <v>235</v>
      </c>
      <c r="C20" s="40"/>
      <c r="D20" s="40"/>
      <c r="E20" s="40"/>
      <c r="F20" s="40"/>
      <c r="G20" s="40"/>
      <c r="H20" s="40"/>
      <c r="I20" s="40"/>
      <c r="J20" s="40"/>
      <c r="K20" s="11">
        <v>-2</v>
      </c>
      <c r="M20" s="3"/>
    </row>
    <row r="21" spans="2:13" ht="15" customHeight="1" x14ac:dyDescent="0.2">
      <c r="B21" s="39" t="s">
        <v>236</v>
      </c>
      <c r="C21" s="40"/>
      <c r="D21" s="40"/>
      <c r="E21" s="40"/>
      <c r="F21" s="40"/>
      <c r="G21" s="40"/>
      <c r="H21" s="40"/>
      <c r="I21" s="40"/>
      <c r="J21" s="40"/>
      <c r="K21" s="11">
        <v>-3</v>
      </c>
      <c r="M21" s="3"/>
    </row>
    <row r="22" spans="2:13" ht="14.25" customHeight="1" x14ac:dyDescent="0.2">
      <c r="B22" s="36" t="s">
        <v>237</v>
      </c>
      <c r="C22" s="37"/>
      <c r="D22" s="37"/>
      <c r="E22" s="37"/>
      <c r="F22" s="37"/>
      <c r="G22" s="37"/>
      <c r="H22" s="37"/>
      <c r="I22" s="37"/>
      <c r="J22" s="37"/>
      <c r="K22" s="11">
        <v>-4</v>
      </c>
      <c r="M22" s="3"/>
    </row>
    <row r="23" spans="2:13" ht="15.75" customHeight="1" x14ac:dyDescent="0.2">
      <c r="B23" s="39" t="s">
        <v>238</v>
      </c>
      <c r="C23" s="40"/>
      <c r="D23" s="40"/>
      <c r="E23" s="40"/>
      <c r="F23" s="40"/>
      <c r="G23" s="40"/>
      <c r="H23" s="40"/>
      <c r="I23" s="40"/>
      <c r="J23" s="40"/>
      <c r="K23" s="11">
        <v>-5</v>
      </c>
      <c r="M23" s="3"/>
    </row>
    <row r="24" spans="2:13" ht="15.75" x14ac:dyDescent="0.2">
      <c r="B24" s="36" t="s">
        <v>229</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332</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218</v>
      </c>
      <c r="D4" s="19"/>
      <c r="E4" s="19"/>
      <c r="F4" s="19"/>
      <c r="G4" s="19"/>
      <c r="H4" s="19"/>
      <c r="I4" s="20"/>
      <c r="J4" s="21" t="s">
        <v>0</v>
      </c>
      <c r="K4" s="22"/>
      <c r="L4" s="22"/>
      <c r="M4" s="23"/>
    </row>
    <row r="5" spans="2:13" ht="24" customHeight="1" thickBot="1" x14ac:dyDescent="0.35">
      <c r="B5" s="14"/>
      <c r="C5" s="24" t="s">
        <v>219</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220</v>
      </c>
      <c r="C10" s="37"/>
      <c r="D10" s="37"/>
      <c r="E10" s="37"/>
      <c r="F10" s="37"/>
      <c r="G10" s="37"/>
      <c r="H10" s="37"/>
      <c r="I10" s="37"/>
      <c r="J10" s="37"/>
      <c r="K10" s="9">
        <v>-3</v>
      </c>
      <c r="L10" s="35"/>
      <c r="M10" s="3"/>
    </row>
    <row r="11" spans="2:13" ht="15.75" x14ac:dyDescent="0.2">
      <c r="B11" s="36" t="s">
        <v>223</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224</v>
      </c>
      <c r="C19" s="37"/>
      <c r="D19" s="37"/>
      <c r="E19" s="37"/>
      <c r="F19" s="37"/>
      <c r="G19" s="37"/>
      <c r="H19" s="37"/>
      <c r="I19" s="37"/>
      <c r="J19" s="37"/>
      <c r="K19" s="10">
        <v>-1</v>
      </c>
      <c r="M19" s="3"/>
    </row>
    <row r="20" spans="2:13" ht="15.75" customHeight="1" x14ac:dyDescent="0.2">
      <c r="B20" s="39" t="s">
        <v>225</v>
      </c>
      <c r="C20" s="40"/>
      <c r="D20" s="40"/>
      <c r="E20" s="40"/>
      <c r="F20" s="40"/>
      <c r="G20" s="40"/>
      <c r="H20" s="40"/>
      <c r="I20" s="40"/>
      <c r="J20" s="40"/>
      <c r="K20" s="11">
        <v>-2</v>
      </c>
      <c r="M20" s="3"/>
    </row>
    <row r="21" spans="2:13" ht="30" customHeight="1" x14ac:dyDescent="0.2">
      <c r="B21" s="39" t="s">
        <v>226</v>
      </c>
      <c r="C21" s="40"/>
      <c r="D21" s="40"/>
      <c r="E21" s="40"/>
      <c r="F21" s="40"/>
      <c r="G21" s="40"/>
      <c r="H21" s="40"/>
      <c r="I21" s="40"/>
      <c r="J21" s="40"/>
      <c r="K21" s="11">
        <v>-3</v>
      </c>
      <c r="M21" s="3"/>
    </row>
    <row r="22" spans="2:13" ht="14.25" customHeight="1" x14ac:dyDescent="0.2">
      <c r="B22" s="36" t="s">
        <v>227</v>
      </c>
      <c r="C22" s="37"/>
      <c r="D22" s="37"/>
      <c r="E22" s="37"/>
      <c r="F22" s="37"/>
      <c r="G22" s="37"/>
      <c r="H22" s="37"/>
      <c r="I22" s="37"/>
      <c r="J22" s="37"/>
      <c r="K22" s="11">
        <v>-4</v>
      </c>
      <c r="M22" s="3"/>
    </row>
    <row r="23" spans="2:13" ht="15.75" customHeight="1" x14ac:dyDescent="0.2">
      <c r="B23" s="39" t="s">
        <v>228</v>
      </c>
      <c r="C23" s="40"/>
      <c r="D23" s="40"/>
      <c r="E23" s="40"/>
      <c r="F23" s="40"/>
      <c r="G23" s="40"/>
      <c r="H23" s="40"/>
      <c r="I23" s="40"/>
      <c r="J23" s="40"/>
      <c r="K23" s="11">
        <v>-5</v>
      </c>
      <c r="M23" s="3"/>
    </row>
    <row r="24" spans="2:13" ht="15.75" x14ac:dyDescent="0.2">
      <c r="B24" s="36" t="s">
        <v>229</v>
      </c>
      <c r="C24" s="37"/>
      <c r="D24" s="37"/>
      <c r="E24" s="37"/>
      <c r="F24" s="37"/>
      <c r="G24" s="37"/>
      <c r="H24" s="37"/>
      <c r="I24" s="37"/>
      <c r="J24" s="37"/>
      <c r="K24" s="11">
        <v>-6</v>
      </c>
      <c r="M24" s="3"/>
    </row>
    <row r="25" spans="2:13" ht="15.75" x14ac:dyDescent="0.2">
      <c r="B25" s="36" t="s">
        <v>230</v>
      </c>
      <c r="C25" s="37"/>
      <c r="D25" s="37"/>
      <c r="E25" s="37"/>
      <c r="F25" s="37"/>
      <c r="G25" s="37"/>
      <c r="H25" s="37"/>
      <c r="I25" s="37"/>
      <c r="J25" s="37"/>
      <c r="K25" s="11">
        <v>-7</v>
      </c>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331</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212</v>
      </c>
      <c r="D4" s="19"/>
      <c r="E4" s="19"/>
      <c r="F4" s="19"/>
      <c r="G4" s="19"/>
      <c r="H4" s="19"/>
      <c r="I4" s="20"/>
      <c r="J4" s="21" t="s">
        <v>0</v>
      </c>
      <c r="K4" s="22"/>
      <c r="L4" s="22"/>
      <c r="M4" s="23"/>
    </row>
    <row r="5" spans="2:13" ht="24" customHeight="1" thickBot="1" x14ac:dyDescent="0.35">
      <c r="B5" s="14"/>
      <c r="C5" s="24" t="s">
        <v>213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196</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214</v>
      </c>
      <c r="C19" s="37"/>
      <c r="D19" s="37"/>
      <c r="E19" s="37"/>
      <c r="F19" s="37"/>
      <c r="G19" s="37"/>
      <c r="H19" s="37"/>
      <c r="I19" s="37"/>
      <c r="J19" s="37"/>
      <c r="K19" s="10">
        <v>-1</v>
      </c>
      <c r="M19" s="3"/>
    </row>
    <row r="20" spans="2:13" ht="15.75" customHeight="1" x14ac:dyDescent="0.2">
      <c r="B20" s="39" t="s">
        <v>215</v>
      </c>
      <c r="C20" s="40"/>
      <c r="D20" s="40"/>
      <c r="E20" s="40"/>
      <c r="F20" s="40"/>
      <c r="G20" s="40"/>
      <c r="H20" s="40"/>
      <c r="I20" s="40"/>
      <c r="J20" s="40"/>
      <c r="K20" s="11">
        <v>-2</v>
      </c>
      <c r="M20" s="3"/>
    </row>
    <row r="21" spans="2:13" ht="15.75" x14ac:dyDescent="0.25">
      <c r="B21" s="36" t="s">
        <v>216</v>
      </c>
      <c r="C21" s="37"/>
      <c r="D21" s="37"/>
      <c r="E21" s="37"/>
      <c r="F21" s="37"/>
      <c r="G21" s="37"/>
      <c r="H21" s="37"/>
      <c r="I21" s="37"/>
      <c r="J21" s="37"/>
      <c r="K21" s="10">
        <v>-3</v>
      </c>
      <c r="M21" s="3"/>
    </row>
    <row r="22" spans="2:13" ht="14.25" customHeight="1" x14ac:dyDescent="0.2">
      <c r="B22" s="36" t="s">
        <v>217</v>
      </c>
      <c r="C22" s="37"/>
      <c r="D22" s="37"/>
      <c r="E22" s="37"/>
      <c r="F22" s="37"/>
      <c r="G22" s="37"/>
      <c r="H22" s="37"/>
      <c r="I22" s="37"/>
      <c r="J22" s="37"/>
      <c r="K22" s="11">
        <v>-4</v>
      </c>
      <c r="M22" s="3"/>
    </row>
    <row r="23" spans="2:13" ht="15.75" customHeight="1" x14ac:dyDescent="0.2">
      <c r="B23" s="39"/>
      <c r="C23" s="40"/>
      <c r="D23" s="40"/>
      <c r="E23" s="40"/>
      <c r="F23" s="40"/>
      <c r="G23" s="40"/>
      <c r="H23" s="40"/>
      <c r="I23" s="40"/>
      <c r="J23" s="40"/>
      <c r="K23" s="11"/>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330</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r:id="rId1"/>
  <headerFooter>
    <oddHeader>&amp;L
Fo-I/E-24   Issue(1)   Rev(0)</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205</v>
      </c>
      <c r="D4" s="19"/>
      <c r="E4" s="19"/>
      <c r="F4" s="19"/>
      <c r="G4" s="19"/>
      <c r="H4" s="19"/>
      <c r="I4" s="20"/>
      <c r="J4" s="21" t="s">
        <v>0</v>
      </c>
      <c r="K4" s="22"/>
      <c r="L4" s="22"/>
      <c r="M4" s="23"/>
    </row>
    <row r="5" spans="2:13" ht="24" customHeight="1" thickBot="1" x14ac:dyDescent="0.35">
      <c r="B5" s="14"/>
      <c r="C5" s="24" t="s">
        <v>206</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196</v>
      </c>
      <c r="C9" s="37"/>
      <c r="D9" s="37"/>
      <c r="E9" s="37"/>
      <c r="F9" s="37"/>
      <c r="G9" s="37"/>
      <c r="H9" s="37"/>
      <c r="I9" s="37"/>
      <c r="J9" s="37"/>
      <c r="K9" s="9">
        <v>-2</v>
      </c>
      <c r="L9" s="35"/>
      <c r="M9" s="3"/>
    </row>
    <row r="10" spans="2:13" ht="15.75" x14ac:dyDescent="0.2">
      <c r="B10" s="36" t="s">
        <v>207</v>
      </c>
      <c r="C10" s="37"/>
      <c r="D10" s="37"/>
      <c r="E10" s="37"/>
      <c r="F10" s="37"/>
      <c r="G10" s="37"/>
      <c r="H10" s="37"/>
      <c r="I10" s="37"/>
      <c r="J10" s="37"/>
      <c r="K10" s="9">
        <f>J14-3</f>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208</v>
      </c>
      <c r="C19" s="37"/>
      <c r="D19" s="37"/>
      <c r="E19" s="37"/>
      <c r="F19" s="37"/>
      <c r="G19" s="37"/>
      <c r="H19" s="37"/>
      <c r="I19" s="37"/>
      <c r="J19" s="37"/>
      <c r="K19" s="10">
        <v>-1</v>
      </c>
      <c r="M19" s="3"/>
    </row>
    <row r="20" spans="2:13" ht="20.25" customHeight="1" x14ac:dyDescent="0.2">
      <c r="B20" s="39" t="s">
        <v>211</v>
      </c>
      <c r="C20" s="40"/>
      <c r="D20" s="40"/>
      <c r="E20" s="40"/>
      <c r="F20" s="40"/>
      <c r="G20" s="40"/>
      <c r="H20" s="40"/>
      <c r="I20" s="40"/>
      <c r="J20" s="40"/>
      <c r="K20" s="11">
        <v>-2</v>
      </c>
      <c r="M20" s="3"/>
    </row>
    <row r="21" spans="2:13" ht="15.75" x14ac:dyDescent="0.25">
      <c r="B21" s="36" t="s">
        <v>209</v>
      </c>
      <c r="C21" s="37"/>
      <c r="D21" s="37"/>
      <c r="E21" s="37"/>
      <c r="F21" s="37"/>
      <c r="G21" s="37"/>
      <c r="H21" s="37"/>
      <c r="I21" s="37"/>
      <c r="J21" s="37"/>
      <c r="K21" s="10">
        <v>-3</v>
      </c>
      <c r="M21" s="3"/>
    </row>
    <row r="22" spans="2:13" ht="14.25" customHeight="1" x14ac:dyDescent="0.2">
      <c r="B22" s="36" t="s">
        <v>210</v>
      </c>
      <c r="C22" s="37"/>
      <c r="D22" s="37"/>
      <c r="E22" s="37"/>
      <c r="F22" s="37"/>
      <c r="G22" s="37"/>
      <c r="H22" s="37"/>
      <c r="I22" s="37"/>
      <c r="J22" s="37"/>
      <c r="K22" s="11">
        <v>-4</v>
      </c>
      <c r="M22" s="3"/>
    </row>
    <row r="23" spans="2:13" ht="15.75" customHeight="1" x14ac:dyDescent="0.2">
      <c r="B23" s="39"/>
      <c r="C23" s="40"/>
      <c r="D23" s="40"/>
      <c r="E23" s="40"/>
      <c r="F23" s="40"/>
      <c r="G23" s="40"/>
      <c r="H23" s="40"/>
      <c r="I23" s="40"/>
      <c r="J23" s="40"/>
      <c r="K23" s="11"/>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329</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M60"/>
  <sheetViews>
    <sheetView workbookViewId="0">
      <selection activeCell="J60" sqref="J6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3.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32</v>
      </c>
      <c r="D4" s="19"/>
      <c r="E4" s="19"/>
      <c r="F4" s="19"/>
      <c r="G4" s="19"/>
      <c r="H4" s="19"/>
      <c r="I4" s="20"/>
      <c r="J4" s="21" t="s">
        <v>0</v>
      </c>
      <c r="K4" s="22"/>
      <c r="L4" s="22"/>
      <c r="M4" s="23"/>
    </row>
    <row r="5" spans="2:13" ht="24" customHeight="1" thickBot="1" x14ac:dyDescent="0.35">
      <c r="B5" s="14"/>
      <c r="C5" s="24" t="s">
        <v>31</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57" t="s">
        <v>33</v>
      </c>
      <c r="C8" s="58"/>
      <c r="D8" s="58"/>
      <c r="E8" s="58"/>
      <c r="F8" s="58"/>
      <c r="G8" s="58"/>
      <c r="H8" s="58"/>
      <c r="I8" s="58"/>
      <c r="J8" s="58"/>
      <c r="K8" s="2">
        <v>-1</v>
      </c>
      <c r="L8" s="35"/>
      <c r="M8" s="3"/>
    </row>
    <row r="9" spans="2:13" ht="15.75" x14ac:dyDescent="0.25">
      <c r="B9" s="36" t="s">
        <v>34</v>
      </c>
      <c r="C9" s="37"/>
      <c r="D9" s="37"/>
      <c r="E9" s="37"/>
      <c r="F9" s="37"/>
      <c r="G9" s="37"/>
      <c r="H9" s="37"/>
      <c r="I9" s="37"/>
      <c r="J9" s="37"/>
      <c r="K9" s="2">
        <v>-2</v>
      </c>
      <c r="L9" s="35"/>
      <c r="M9" s="3"/>
    </row>
    <row r="10" spans="2:13" ht="15.75" x14ac:dyDescent="0.25">
      <c r="B10" s="33" t="s">
        <v>7</v>
      </c>
      <c r="C10" s="34"/>
      <c r="D10" s="34"/>
      <c r="E10" s="34"/>
      <c r="F10" s="34"/>
      <c r="G10" s="34"/>
      <c r="H10" s="34"/>
      <c r="I10" s="34"/>
      <c r="J10" s="34"/>
      <c r="K10" s="2">
        <v>-3</v>
      </c>
      <c r="L10" s="35"/>
      <c r="M10" s="3"/>
    </row>
    <row r="11" spans="2:13" ht="15.75" x14ac:dyDescent="0.25">
      <c r="B11" s="36" t="s">
        <v>8</v>
      </c>
      <c r="C11" s="37"/>
      <c r="D11" s="37"/>
      <c r="E11" s="37"/>
      <c r="F11" s="37"/>
      <c r="G11" s="37"/>
      <c r="H11" s="37"/>
      <c r="I11" s="37"/>
      <c r="J11" s="37"/>
      <c r="K11" s="2">
        <v>-4</v>
      </c>
      <c r="L11" s="35"/>
      <c r="M11" s="3"/>
    </row>
    <row r="12" spans="2:13" ht="15.75" x14ac:dyDescent="0.25">
      <c r="B12" s="36" t="s">
        <v>35</v>
      </c>
      <c r="C12" s="37"/>
      <c r="D12" s="37"/>
      <c r="E12" s="37"/>
      <c r="F12" s="37"/>
      <c r="G12" s="37"/>
      <c r="H12" s="37"/>
      <c r="I12" s="37"/>
      <c r="J12" s="37"/>
      <c r="K12" s="2">
        <v>-5</v>
      </c>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13</v>
      </c>
      <c r="C19" s="37"/>
      <c r="D19" s="37"/>
      <c r="E19" s="37"/>
      <c r="F19" s="37"/>
      <c r="G19" s="37"/>
      <c r="H19" s="37"/>
      <c r="I19" s="37"/>
      <c r="J19" s="37"/>
      <c r="K19" s="2">
        <v>-1</v>
      </c>
      <c r="M19" s="3"/>
    </row>
    <row r="20" spans="2:13" ht="15.75" x14ac:dyDescent="0.25">
      <c r="B20" s="36" t="s">
        <v>36</v>
      </c>
      <c r="C20" s="37"/>
      <c r="D20" s="37"/>
      <c r="E20" s="37"/>
      <c r="F20" s="37"/>
      <c r="G20" s="37"/>
      <c r="H20" s="37"/>
      <c r="I20" s="37"/>
      <c r="J20" s="37"/>
      <c r="K20" s="2">
        <v>-2</v>
      </c>
      <c r="M20" s="3"/>
    </row>
    <row r="21" spans="2:13" ht="15.75" x14ac:dyDescent="0.25">
      <c r="B21" s="36" t="s">
        <v>16</v>
      </c>
      <c r="C21" s="37"/>
      <c r="D21" s="37"/>
      <c r="E21" s="37"/>
      <c r="F21" s="37"/>
      <c r="G21" s="37"/>
      <c r="H21" s="37"/>
      <c r="I21" s="37"/>
      <c r="J21" s="37"/>
      <c r="K21" s="2">
        <v>-3</v>
      </c>
      <c r="M21" s="3"/>
    </row>
    <row r="22" spans="2:13" ht="15.75" x14ac:dyDescent="0.25">
      <c r="B22" s="36" t="s">
        <v>17</v>
      </c>
      <c r="C22" s="37"/>
      <c r="D22" s="37"/>
      <c r="E22" s="37"/>
      <c r="F22" s="37"/>
      <c r="G22" s="37"/>
      <c r="H22" s="37"/>
      <c r="I22" s="37"/>
      <c r="J22" s="37"/>
      <c r="K22" s="2">
        <v>-4</v>
      </c>
      <c r="M22" s="3"/>
    </row>
    <row r="23" spans="2:13" ht="15.75" x14ac:dyDescent="0.25">
      <c r="B23" s="36" t="s">
        <v>37</v>
      </c>
      <c r="C23" s="37"/>
      <c r="D23" s="37"/>
      <c r="E23" s="37"/>
      <c r="F23" s="37"/>
      <c r="G23" s="37"/>
      <c r="H23" s="37"/>
      <c r="I23" s="37"/>
      <c r="J23" s="37"/>
      <c r="K23" s="2">
        <v>-5</v>
      </c>
      <c r="M23" s="3"/>
    </row>
    <row r="24" spans="2:13" ht="15.75" x14ac:dyDescent="0.25">
      <c r="B24" s="36" t="s">
        <v>38</v>
      </c>
      <c r="C24" s="37"/>
      <c r="D24" s="37"/>
      <c r="E24" s="37"/>
      <c r="F24" s="37"/>
      <c r="G24" s="37"/>
      <c r="H24" s="37"/>
      <c r="I24" s="37"/>
      <c r="J24" s="37"/>
      <c r="K24" s="2">
        <v>-6</v>
      </c>
      <c r="M24" s="3"/>
    </row>
    <row r="25" spans="2:13" ht="15.75" x14ac:dyDescent="0.25">
      <c r="B25" s="36" t="s">
        <v>39</v>
      </c>
      <c r="C25" s="37"/>
      <c r="D25" s="37"/>
      <c r="E25" s="37"/>
      <c r="F25" s="37"/>
      <c r="G25" s="37"/>
      <c r="H25" s="37"/>
      <c r="I25" s="37"/>
      <c r="J25" s="37"/>
      <c r="K25" s="2">
        <v>-7</v>
      </c>
      <c r="M25" s="3"/>
    </row>
    <row r="26" spans="2:13" ht="15.75" x14ac:dyDescent="0.25">
      <c r="B26" s="36" t="s">
        <v>40</v>
      </c>
      <c r="C26" s="37"/>
      <c r="D26" s="37"/>
      <c r="E26" s="37"/>
      <c r="F26" s="37"/>
      <c r="G26" s="37"/>
      <c r="H26" s="37"/>
      <c r="I26" s="37"/>
      <c r="J26" s="37"/>
      <c r="K26" s="2">
        <v>-8</v>
      </c>
      <c r="M26" s="3"/>
    </row>
    <row r="27" spans="2:13" ht="15" x14ac:dyDescent="0.2">
      <c r="B27" s="36"/>
      <c r="C27" s="37"/>
      <c r="D27" s="37"/>
      <c r="E27" s="37"/>
      <c r="F27" s="37"/>
      <c r="G27" s="37"/>
      <c r="H27" s="37"/>
      <c r="I27" s="37"/>
      <c r="J27" s="37"/>
      <c r="M27" s="3"/>
    </row>
    <row r="28" spans="2:13" x14ac:dyDescent="0.2">
      <c r="B28" s="4"/>
      <c r="M28" s="3"/>
    </row>
    <row r="29" spans="2:13" x14ac:dyDescent="0.2">
      <c r="B29" s="4"/>
      <c r="M29" s="3"/>
    </row>
    <row r="30" spans="2:13" x14ac:dyDescent="0.2">
      <c r="B30" s="4"/>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308</v>
      </c>
      <c r="I59" s="55"/>
      <c r="J59" s="55"/>
      <c r="K59" s="55"/>
      <c r="L59" s="55"/>
      <c r="M59" s="56"/>
    </row>
    <row r="60" spans="2:13" ht="12" thickTop="1" x14ac:dyDescent="0.2"/>
  </sheetData>
  <mergeCells count="30">
    <mergeCell ref="B12:J12"/>
    <mergeCell ref="B27:J27"/>
    <mergeCell ref="B24:J24"/>
    <mergeCell ref="B25:J25"/>
    <mergeCell ref="B26:J26"/>
    <mergeCell ref="H18:L18"/>
    <mergeCell ref="B19:J19"/>
    <mergeCell ref="B20:J20"/>
    <mergeCell ref="B21:J21"/>
    <mergeCell ref="B22:J22"/>
    <mergeCell ref="B23:J23"/>
    <mergeCell ref="B57:C59"/>
    <mergeCell ref="D57:E59"/>
    <mergeCell ref="F57:G59"/>
    <mergeCell ref="H57:M57"/>
    <mergeCell ref="H58:M58"/>
    <mergeCell ref="H59:M59"/>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M60"/>
  <sheetViews>
    <sheetView workbookViewId="0">
      <selection activeCell="W21" sqref="W2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68</v>
      </c>
      <c r="D4" s="19"/>
      <c r="E4" s="19"/>
      <c r="F4" s="19"/>
      <c r="G4" s="19"/>
      <c r="H4" s="19"/>
      <c r="I4" s="20"/>
      <c r="J4" s="21" t="s">
        <v>0</v>
      </c>
      <c r="K4" s="22"/>
      <c r="L4" s="22"/>
      <c r="M4" s="23"/>
    </row>
    <row r="5" spans="2:13" ht="24" customHeight="1" thickBot="1" x14ac:dyDescent="0.35">
      <c r="B5" s="14"/>
      <c r="C5" s="24" t="s">
        <v>69</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58</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70</v>
      </c>
      <c r="C20" s="37"/>
      <c r="D20" s="37"/>
      <c r="E20" s="37"/>
      <c r="F20" s="37"/>
      <c r="G20" s="37"/>
      <c r="H20" s="37"/>
      <c r="I20" s="37"/>
      <c r="J20" s="37"/>
      <c r="K20" s="10">
        <v>-2</v>
      </c>
      <c r="M20" s="3"/>
    </row>
    <row r="21" spans="2:13" ht="15.75" x14ac:dyDescent="0.25">
      <c r="B21" s="36" t="s">
        <v>71</v>
      </c>
      <c r="C21" s="37"/>
      <c r="D21" s="37"/>
      <c r="E21" s="37"/>
      <c r="F21" s="37"/>
      <c r="G21" s="37"/>
      <c r="H21" s="37"/>
      <c r="I21" s="37"/>
      <c r="J21" s="37"/>
      <c r="K21" s="10">
        <v>-3</v>
      </c>
      <c r="M21" s="3"/>
    </row>
    <row r="22" spans="2:13" ht="15.75" x14ac:dyDescent="0.25">
      <c r="B22" s="36" t="s">
        <v>72</v>
      </c>
      <c r="C22" s="37"/>
      <c r="D22" s="37"/>
      <c r="E22" s="37"/>
      <c r="F22" s="37"/>
      <c r="G22" s="37"/>
      <c r="H22" s="37"/>
      <c r="I22" s="37"/>
      <c r="J22" s="37"/>
      <c r="K22" s="10">
        <v>-4</v>
      </c>
      <c r="M22" s="3"/>
    </row>
    <row r="23" spans="2:13" ht="15.75" x14ac:dyDescent="0.25">
      <c r="B23" s="36" t="s">
        <v>73</v>
      </c>
      <c r="C23" s="37"/>
      <c r="D23" s="37"/>
      <c r="E23" s="37"/>
      <c r="F23" s="37"/>
      <c r="G23" s="37"/>
      <c r="H23" s="37"/>
      <c r="I23" s="37"/>
      <c r="J23" s="37"/>
      <c r="K23" s="10">
        <v>-5</v>
      </c>
      <c r="M23" s="3"/>
    </row>
    <row r="24" spans="2:13" ht="15.75" x14ac:dyDescent="0.25">
      <c r="B24" s="36" t="s">
        <v>64</v>
      </c>
      <c r="C24" s="37"/>
      <c r="D24" s="37"/>
      <c r="E24" s="37"/>
      <c r="F24" s="37"/>
      <c r="G24" s="37"/>
      <c r="H24" s="37"/>
      <c r="I24" s="37"/>
      <c r="J24" s="37"/>
      <c r="K24" s="10">
        <v>-6</v>
      </c>
      <c r="M24" s="3"/>
    </row>
    <row r="25" spans="2:13" ht="15.75" x14ac:dyDescent="0.25">
      <c r="B25" s="36" t="s">
        <v>65</v>
      </c>
      <c r="C25" s="37"/>
      <c r="D25" s="37"/>
      <c r="E25" s="37"/>
      <c r="F25" s="37"/>
      <c r="G25" s="37"/>
      <c r="H25" s="37"/>
      <c r="I25" s="37"/>
      <c r="J25" s="37"/>
      <c r="K25" s="10">
        <v>-7</v>
      </c>
      <c r="M25" s="3"/>
    </row>
    <row r="26" spans="2:13" ht="15.75" x14ac:dyDescent="0.25">
      <c r="B26" s="36" t="s">
        <v>66</v>
      </c>
      <c r="C26" s="37"/>
      <c r="D26" s="37"/>
      <c r="E26" s="37"/>
      <c r="F26" s="37"/>
      <c r="G26" s="37"/>
      <c r="H26" s="37"/>
      <c r="I26" s="37"/>
      <c r="J26" s="37"/>
      <c r="K26" s="10">
        <v>-8</v>
      </c>
      <c r="M26" s="3"/>
    </row>
    <row r="27" spans="2:13" ht="15.75" x14ac:dyDescent="0.25">
      <c r="B27" s="36" t="s">
        <v>67</v>
      </c>
      <c r="C27" s="37"/>
      <c r="D27" s="37"/>
      <c r="E27" s="37"/>
      <c r="F27" s="37"/>
      <c r="G27" s="37"/>
      <c r="H27" s="37"/>
      <c r="I27" s="37"/>
      <c r="J27" s="37"/>
      <c r="K27" s="10">
        <v>-9</v>
      </c>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311</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60"/>
  <sheetViews>
    <sheetView tabSelected="1" workbookViewId="0">
      <selection activeCell="D36" sqref="D36"/>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417</v>
      </c>
      <c r="D4" s="19"/>
      <c r="E4" s="19"/>
      <c r="F4" s="19"/>
      <c r="G4" s="19"/>
      <c r="H4" s="19"/>
      <c r="I4" s="20"/>
      <c r="J4" s="21" t="s">
        <v>0</v>
      </c>
      <c r="K4" s="22"/>
      <c r="L4" s="22"/>
      <c r="M4" s="23"/>
    </row>
    <row r="5" spans="2:13" ht="24" customHeight="1" thickBot="1" x14ac:dyDescent="0.35">
      <c r="B5" s="14"/>
      <c r="C5" s="24" t="s">
        <v>270</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222</v>
      </c>
      <c r="C9" s="37"/>
      <c r="D9" s="37"/>
      <c r="E9" s="37"/>
      <c r="F9" s="37"/>
      <c r="G9" s="37"/>
      <c r="H9" s="37"/>
      <c r="I9" s="37"/>
      <c r="J9" s="37"/>
      <c r="K9" s="9">
        <v>-2</v>
      </c>
      <c r="L9" s="35"/>
      <c r="M9" s="3"/>
    </row>
    <row r="10" spans="2:13" ht="15.75" x14ac:dyDescent="0.2">
      <c r="B10" s="36" t="s">
        <v>272</v>
      </c>
      <c r="C10" s="37"/>
      <c r="D10" s="37"/>
      <c r="E10" s="37"/>
      <c r="F10" s="37"/>
      <c r="G10" s="37"/>
      <c r="H10" s="37"/>
      <c r="I10" s="37"/>
      <c r="J10" s="37"/>
      <c r="K10" s="9">
        <v>-3</v>
      </c>
      <c r="L10" s="35"/>
      <c r="M10" s="3"/>
    </row>
    <row r="11" spans="2:13" ht="15.75" x14ac:dyDescent="0.2">
      <c r="B11" s="36" t="s">
        <v>271</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7.25" customHeight="1" x14ac:dyDescent="0.25">
      <c r="B19" s="36" t="s">
        <v>273</v>
      </c>
      <c r="C19" s="37"/>
      <c r="D19" s="37"/>
      <c r="E19" s="37"/>
      <c r="F19" s="37"/>
      <c r="G19" s="37"/>
      <c r="H19" s="37"/>
      <c r="I19" s="37"/>
      <c r="J19" s="37"/>
      <c r="K19" s="10">
        <v>-1</v>
      </c>
      <c r="M19" s="3"/>
    </row>
    <row r="20" spans="2:13" ht="18.75" customHeight="1" x14ac:dyDescent="0.2">
      <c r="B20" s="39" t="s">
        <v>274</v>
      </c>
      <c r="C20" s="40"/>
      <c r="D20" s="40"/>
      <c r="E20" s="40"/>
      <c r="F20" s="40"/>
      <c r="G20" s="40"/>
      <c r="H20" s="40"/>
      <c r="I20" s="40"/>
      <c r="J20" s="40"/>
      <c r="K20" s="11">
        <v>-2</v>
      </c>
      <c r="M20" s="3"/>
    </row>
    <row r="21" spans="2:13" ht="16.5" customHeight="1" x14ac:dyDescent="0.2">
      <c r="B21" s="39" t="s">
        <v>275</v>
      </c>
      <c r="C21" s="40"/>
      <c r="D21" s="40"/>
      <c r="E21" s="40"/>
      <c r="F21" s="40"/>
      <c r="G21" s="40"/>
      <c r="H21" s="40"/>
      <c r="I21" s="40"/>
      <c r="J21" s="40"/>
      <c r="K21" s="11">
        <v>-3</v>
      </c>
      <c r="M21" s="3"/>
    </row>
    <row r="22" spans="2:13" ht="14.25" customHeight="1" x14ac:dyDescent="0.2">
      <c r="B22" s="36" t="s">
        <v>276</v>
      </c>
      <c r="C22" s="37"/>
      <c r="D22" s="37"/>
      <c r="E22" s="37"/>
      <c r="F22" s="37"/>
      <c r="G22" s="37"/>
      <c r="H22" s="37"/>
      <c r="I22" s="37"/>
      <c r="J22" s="37"/>
      <c r="K22" s="11">
        <v>-4</v>
      </c>
      <c r="M22" s="3"/>
    </row>
    <row r="23" spans="2:13" ht="15.75" customHeight="1" x14ac:dyDescent="0.2">
      <c r="B23" s="39" t="s">
        <v>277</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337</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M60"/>
  <sheetViews>
    <sheetView topLeftCell="A2" workbookViewId="0">
      <selection activeCell="E31" sqref="E3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116</v>
      </c>
      <c r="D4" s="19"/>
      <c r="E4" s="19"/>
      <c r="F4" s="19"/>
      <c r="G4" s="19"/>
      <c r="H4" s="19"/>
      <c r="I4" s="20"/>
      <c r="J4" s="21" t="s">
        <v>0</v>
      </c>
      <c r="K4" s="22"/>
      <c r="L4" s="22"/>
      <c r="M4" s="23"/>
    </row>
    <row r="5" spans="2:13" ht="24" customHeight="1" thickBot="1" x14ac:dyDescent="0.35">
      <c r="B5" s="14"/>
      <c r="C5" s="24" t="s">
        <v>157</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158</v>
      </c>
      <c r="C19" s="37"/>
      <c r="D19" s="37"/>
      <c r="E19" s="37"/>
      <c r="F19" s="37"/>
      <c r="G19" s="37"/>
      <c r="H19" s="37"/>
      <c r="I19" s="37"/>
      <c r="J19" s="37"/>
      <c r="K19" s="10">
        <v>-1</v>
      </c>
      <c r="M19" s="3"/>
    </row>
    <row r="20" spans="2:13" ht="15.75" customHeight="1" x14ac:dyDescent="0.2">
      <c r="B20" s="39" t="s">
        <v>159</v>
      </c>
      <c r="C20" s="40"/>
      <c r="D20" s="40"/>
      <c r="E20" s="40"/>
      <c r="F20" s="40"/>
      <c r="G20" s="40"/>
      <c r="H20" s="40"/>
      <c r="I20" s="40"/>
      <c r="J20" s="40"/>
      <c r="K20" s="11">
        <v>-2</v>
      </c>
      <c r="M20" s="3"/>
    </row>
    <row r="21" spans="2:13" ht="15.75" x14ac:dyDescent="0.25">
      <c r="B21" s="36" t="s">
        <v>160</v>
      </c>
      <c r="C21" s="37"/>
      <c r="D21" s="37"/>
      <c r="E21" s="37"/>
      <c r="F21" s="37"/>
      <c r="G21" s="37"/>
      <c r="H21" s="37"/>
      <c r="I21" s="37"/>
      <c r="J21" s="37"/>
      <c r="K21" s="10">
        <v>-3</v>
      </c>
      <c r="M21" s="3"/>
    </row>
    <row r="22" spans="2:13" ht="14.25" customHeight="1" x14ac:dyDescent="0.2">
      <c r="B22" s="39" t="s">
        <v>161</v>
      </c>
      <c r="C22" s="40"/>
      <c r="D22" s="40"/>
      <c r="E22" s="40"/>
      <c r="F22" s="40"/>
      <c r="G22" s="40"/>
      <c r="H22" s="40"/>
      <c r="I22" s="40"/>
      <c r="J22" s="40"/>
      <c r="K22" s="11">
        <v>-4</v>
      </c>
      <c r="M22" s="3"/>
    </row>
    <row r="23" spans="2:13" ht="15.75" customHeight="1" x14ac:dyDescent="0.2">
      <c r="B23" s="39"/>
      <c r="C23" s="40"/>
      <c r="D23" s="40"/>
      <c r="E23" s="40"/>
      <c r="F23" s="40"/>
      <c r="G23" s="40"/>
      <c r="H23" s="40"/>
      <c r="I23" s="40"/>
      <c r="J23" s="40"/>
      <c r="K23" s="11"/>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F44" t="s">
        <v>382</v>
      </c>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323</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60"/>
  <sheetViews>
    <sheetView workbookViewId="0">
      <selection activeCell="D40" sqref="D4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381</v>
      </c>
      <c r="D4" s="19"/>
      <c r="E4" s="19"/>
      <c r="F4" s="19"/>
      <c r="G4" s="19"/>
      <c r="H4" s="19"/>
      <c r="I4" s="20"/>
      <c r="J4" s="21" t="s">
        <v>0</v>
      </c>
      <c r="K4" s="22"/>
      <c r="L4" s="22"/>
      <c r="M4" s="23"/>
    </row>
    <row r="5" spans="2:13" ht="24" customHeight="1" thickBot="1" x14ac:dyDescent="0.35">
      <c r="B5" s="14"/>
      <c r="C5" s="24" t="s">
        <v>195</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196</v>
      </c>
      <c r="C9" s="37"/>
      <c r="D9" s="37"/>
      <c r="E9" s="37"/>
      <c r="F9" s="37"/>
      <c r="G9" s="37"/>
      <c r="H9" s="37"/>
      <c r="I9" s="37"/>
      <c r="J9" s="37"/>
      <c r="K9" s="9">
        <v>-2</v>
      </c>
      <c r="L9" s="35"/>
      <c r="M9" s="3"/>
    </row>
    <row r="10" spans="2:13" ht="15.75" x14ac:dyDescent="0.2">
      <c r="B10" s="36" t="s">
        <v>197</v>
      </c>
      <c r="C10" s="37"/>
      <c r="D10" s="37"/>
      <c r="E10" s="37"/>
      <c r="F10" s="37"/>
      <c r="G10" s="37"/>
      <c r="H10" s="37"/>
      <c r="I10" s="37"/>
      <c r="J10" s="37"/>
      <c r="K10" s="9">
        <f>J14-3</f>
        <v>-3</v>
      </c>
      <c r="L10" s="35"/>
      <c r="M10" s="3"/>
    </row>
    <row r="11" spans="2:13" ht="15.75" x14ac:dyDescent="0.2">
      <c r="B11" s="36" t="s">
        <v>198</v>
      </c>
      <c r="C11" s="37"/>
      <c r="D11" s="37"/>
      <c r="E11" s="37"/>
      <c r="F11" s="37"/>
      <c r="G11" s="37"/>
      <c r="H11" s="37"/>
      <c r="I11" s="37"/>
      <c r="J11" s="37"/>
      <c r="K11" s="9">
        <f>J15-4</f>
        <v>-4</v>
      </c>
      <c r="L11" s="35"/>
      <c r="M11" s="3"/>
    </row>
    <row r="12" spans="2:13" ht="15.75" x14ac:dyDescent="0.2">
      <c r="B12" s="36" t="s">
        <v>199</v>
      </c>
      <c r="C12" s="37"/>
      <c r="D12" s="37"/>
      <c r="E12" s="37"/>
      <c r="F12" s="37"/>
      <c r="G12" s="37"/>
      <c r="H12" s="37"/>
      <c r="I12" s="37"/>
      <c r="J12" s="37"/>
      <c r="K12" s="9">
        <f>J16-5</f>
        <v>-5</v>
      </c>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200</v>
      </c>
      <c r="C19" s="37"/>
      <c r="D19" s="37"/>
      <c r="E19" s="37"/>
      <c r="F19" s="37"/>
      <c r="G19" s="37"/>
      <c r="H19" s="37"/>
      <c r="I19" s="37"/>
      <c r="J19" s="37"/>
      <c r="K19" s="10">
        <v>-1</v>
      </c>
      <c r="M19" s="3"/>
    </row>
    <row r="20" spans="2:13" ht="15.75" customHeight="1" x14ac:dyDescent="0.2">
      <c r="B20" s="39" t="s">
        <v>201</v>
      </c>
      <c r="C20" s="40"/>
      <c r="D20" s="40"/>
      <c r="E20" s="40"/>
      <c r="F20" s="40"/>
      <c r="G20" s="40"/>
      <c r="H20" s="40"/>
      <c r="I20" s="40"/>
      <c r="J20" s="40"/>
      <c r="K20" s="11">
        <v>-2</v>
      </c>
      <c r="M20" s="3"/>
    </row>
    <row r="21" spans="2:13" ht="15.75" x14ac:dyDescent="0.25">
      <c r="B21" s="36" t="s">
        <v>203</v>
      </c>
      <c r="C21" s="37"/>
      <c r="D21" s="37"/>
      <c r="E21" s="37"/>
      <c r="F21" s="37"/>
      <c r="G21" s="37"/>
      <c r="H21" s="37"/>
      <c r="I21" s="37"/>
      <c r="J21" s="37"/>
      <c r="K21" s="10">
        <v>-3</v>
      </c>
      <c r="M21" s="3"/>
    </row>
    <row r="22" spans="2:13" ht="14.25" customHeight="1" x14ac:dyDescent="0.2">
      <c r="B22" s="36" t="s">
        <v>202</v>
      </c>
      <c r="C22" s="37"/>
      <c r="D22" s="37"/>
      <c r="E22" s="37"/>
      <c r="F22" s="37"/>
      <c r="G22" s="37"/>
      <c r="H22" s="37"/>
      <c r="I22" s="37"/>
      <c r="J22" s="37"/>
      <c r="K22" s="11">
        <v>-4</v>
      </c>
      <c r="M22" s="3"/>
    </row>
    <row r="23" spans="2:13" ht="15.75" customHeight="1" x14ac:dyDescent="0.2">
      <c r="B23" s="39" t="s">
        <v>204</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328</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M60"/>
  <sheetViews>
    <sheetView workbookViewId="0">
      <selection activeCell="C41" sqref="C4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380</v>
      </c>
      <c r="D4" s="19"/>
      <c r="E4" s="19"/>
      <c r="F4" s="19"/>
      <c r="G4" s="19"/>
      <c r="H4" s="19"/>
      <c r="I4" s="20"/>
      <c r="J4" s="21" t="s">
        <v>0</v>
      </c>
      <c r="K4" s="22"/>
      <c r="L4" s="22"/>
      <c r="M4" s="23"/>
    </row>
    <row r="5" spans="2:13" ht="24" customHeight="1" thickBot="1" x14ac:dyDescent="0.35">
      <c r="B5" s="14"/>
      <c r="C5" s="24" t="s">
        <v>186</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187</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188</v>
      </c>
      <c r="C19" s="37"/>
      <c r="D19" s="37"/>
      <c r="E19" s="37"/>
      <c r="F19" s="37"/>
      <c r="G19" s="37"/>
      <c r="H19" s="37"/>
      <c r="I19" s="37"/>
      <c r="J19" s="37"/>
      <c r="K19" s="10">
        <v>-1</v>
      </c>
      <c r="M19" s="3"/>
    </row>
    <row r="20" spans="2:13" ht="15.75" customHeight="1" x14ac:dyDescent="0.2">
      <c r="B20" s="39" t="s">
        <v>189</v>
      </c>
      <c r="C20" s="40"/>
      <c r="D20" s="40"/>
      <c r="E20" s="40"/>
      <c r="F20" s="40"/>
      <c r="G20" s="40"/>
      <c r="H20" s="40"/>
      <c r="I20" s="40"/>
      <c r="J20" s="40"/>
      <c r="K20" s="11">
        <v>-2</v>
      </c>
      <c r="M20" s="3"/>
    </row>
    <row r="21" spans="2:13" ht="15.75" x14ac:dyDescent="0.25">
      <c r="B21" s="36" t="s">
        <v>190</v>
      </c>
      <c r="C21" s="37"/>
      <c r="D21" s="37"/>
      <c r="E21" s="37"/>
      <c r="F21" s="37"/>
      <c r="G21" s="37"/>
      <c r="H21" s="37"/>
      <c r="I21" s="37"/>
      <c r="J21" s="37"/>
      <c r="K21" s="10">
        <v>-3</v>
      </c>
      <c r="M21" s="3"/>
    </row>
    <row r="22" spans="2:13" ht="14.25" customHeight="1" x14ac:dyDescent="0.2">
      <c r="B22" s="39" t="s">
        <v>191</v>
      </c>
      <c r="C22" s="40"/>
      <c r="D22" s="40"/>
      <c r="E22" s="40"/>
      <c r="F22" s="40"/>
      <c r="G22" s="40"/>
      <c r="H22" s="40"/>
      <c r="I22" s="40"/>
      <c r="J22" s="40"/>
      <c r="K22" s="11">
        <v>-4</v>
      </c>
      <c r="M22" s="3"/>
    </row>
    <row r="23" spans="2:13" ht="15.75" customHeight="1" x14ac:dyDescent="0.2">
      <c r="B23" s="39" t="s">
        <v>193</v>
      </c>
      <c r="C23" s="40"/>
      <c r="D23" s="40"/>
      <c r="E23" s="40"/>
      <c r="F23" s="40"/>
      <c r="G23" s="40"/>
      <c r="H23" s="40"/>
      <c r="I23" s="40"/>
      <c r="J23" s="40"/>
      <c r="K23" s="11">
        <v>-5</v>
      </c>
      <c r="M23" s="3"/>
    </row>
    <row r="24" spans="2:13" ht="15.75" x14ac:dyDescent="0.2">
      <c r="B24" s="36" t="s">
        <v>194</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327</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F6E5E-69DF-41F2-AF3D-F0396F3AD9AC}">
  <dimension ref="B2:M60"/>
  <sheetViews>
    <sheetView workbookViewId="0">
      <selection activeCell="B30" sqref="B30:J3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412</v>
      </c>
      <c r="D4" s="19"/>
      <c r="E4" s="19"/>
      <c r="F4" s="19"/>
      <c r="G4" s="19"/>
      <c r="H4" s="19"/>
      <c r="I4" s="20"/>
      <c r="J4" s="21" t="s">
        <v>0</v>
      </c>
      <c r="K4" s="22"/>
      <c r="L4" s="22"/>
      <c r="M4" s="23"/>
    </row>
    <row r="5" spans="2:13" ht="24" customHeight="1" thickBot="1" x14ac:dyDescent="0.35">
      <c r="B5" s="14"/>
      <c r="C5" s="24" t="s">
        <v>413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187</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188</v>
      </c>
      <c r="C19" s="37"/>
      <c r="D19" s="37"/>
      <c r="E19" s="37"/>
      <c r="F19" s="37"/>
      <c r="G19" s="37"/>
      <c r="H19" s="37"/>
      <c r="I19" s="37"/>
      <c r="J19" s="37"/>
      <c r="K19" s="10">
        <v>-1</v>
      </c>
      <c r="M19" s="3"/>
    </row>
    <row r="20" spans="2:13" ht="15.75" customHeight="1" x14ac:dyDescent="0.2">
      <c r="B20" s="60" t="s">
        <v>188</v>
      </c>
      <c r="C20" s="40"/>
      <c r="D20" s="40"/>
      <c r="E20" s="40"/>
      <c r="F20" s="40"/>
      <c r="G20" s="40"/>
      <c r="H20" s="40"/>
      <c r="I20" s="40"/>
      <c r="J20" s="40"/>
      <c r="K20" s="11">
        <v>-2</v>
      </c>
      <c r="M20" s="3"/>
    </row>
    <row r="21" spans="2:13" ht="15.75" x14ac:dyDescent="0.25">
      <c r="B21" s="59" t="s">
        <v>414</v>
      </c>
      <c r="C21" s="37"/>
      <c r="D21" s="37"/>
      <c r="E21" s="37"/>
      <c r="F21" s="37"/>
      <c r="G21" s="37"/>
      <c r="H21" s="37"/>
      <c r="I21" s="37"/>
      <c r="J21" s="37"/>
      <c r="K21" s="10">
        <v>-3</v>
      </c>
      <c r="M21" s="3"/>
    </row>
    <row r="22" spans="2:13" ht="14.25" customHeight="1" x14ac:dyDescent="0.2">
      <c r="B22" s="60" t="s">
        <v>415</v>
      </c>
      <c r="C22" s="40"/>
      <c r="D22" s="40"/>
      <c r="E22" s="40"/>
      <c r="F22" s="40"/>
      <c r="G22" s="40"/>
      <c r="H22" s="40"/>
      <c r="I22" s="40"/>
      <c r="J22" s="40"/>
      <c r="K22" s="11">
        <v>-4</v>
      </c>
      <c r="M22" s="3"/>
    </row>
    <row r="23" spans="2:13" ht="15.75" customHeight="1" x14ac:dyDescent="0.2">
      <c r="B23" s="39" t="s">
        <v>193</v>
      </c>
      <c r="C23" s="40"/>
      <c r="D23" s="40"/>
      <c r="E23" s="40"/>
      <c r="F23" s="40"/>
      <c r="G23" s="40"/>
      <c r="H23" s="40"/>
      <c r="I23" s="40"/>
      <c r="J23" s="40"/>
      <c r="K23" s="11">
        <v>-5</v>
      </c>
      <c r="M23" s="3"/>
    </row>
    <row r="24" spans="2:13" ht="15.75" x14ac:dyDescent="0.2">
      <c r="B24" s="59" t="s">
        <v>416</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327</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0"/>
  <sheetViews>
    <sheetView workbookViewId="0">
      <selection activeCell="H36" sqref="H36"/>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379</v>
      </c>
      <c r="D4" s="19"/>
      <c r="E4" s="19"/>
      <c r="F4" s="19"/>
      <c r="G4" s="19"/>
      <c r="H4" s="19"/>
      <c r="I4" s="20"/>
      <c r="J4" s="21" t="s">
        <v>0</v>
      </c>
      <c r="K4" s="22"/>
      <c r="L4" s="22"/>
      <c r="M4" s="23"/>
    </row>
    <row r="5" spans="2:13" ht="24" customHeight="1" thickBot="1" x14ac:dyDescent="0.35">
      <c r="B5" s="14"/>
      <c r="C5" s="24" t="s">
        <v>178</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179</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t="s">
        <v>180</v>
      </c>
      <c r="C11" s="37"/>
      <c r="D11" s="37"/>
      <c r="E11" s="37"/>
      <c r="F11" s="37"/>
      <c r="G11" s="37"/>
      <c r="H11" s="37"/>
      <c r="I11" s="37"/>
      <c r="J11" s="37"/>
      <c r="K11" s="9">
        <v>-4</v>
      </c>
      <c r="L11" s="35"/>
      <c r="M11" s="3"/>
    </row>
    <row r="12" spans="2:13" ht="15.75" x14ac:dyDescent="0.2">
      <c r="B12" s="36" t="s">
        <v>181</v>
      </c>
      <c r="C12" s="37"/>
      <c r="D12" s="37"/>
      <c r="E12" s="37"/>
      <c r="F12" s="37"/>
      <c r="G12" s="37"/>
      <c r="H12" s="37"/>
      <c r="I12" s="37"/>
      <c r="J12" s="37"/>
      <c r="K12" s="9">
        <v>-5</v>
      </c>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182</v>
      </c>
      <c r="C19" s="37"/>
      <c r="D19" s="37"/>
      <c r="E19" s="37"/>
      <c r="F19" s="37"/>
      <c r="G19" s="37"/>
      <c r="H19" s="37"/>
      <c r="I19" s="37"/>
      <c r="J19" s="37"/>
      <c r="K19" s="10">
        <v>-1</v>
      </c>
      <c r="M19" s="3"/>
    </row>
    <row r="20" spans="2:13" ht="15.75" customHeight="1" x14ac:dyDescent="0.2">
      <c r="B20" s="39" t="s">
        <v>192</v>
      </c>
      <c r="C20" s="40"/>
      <c r="D20" s="40"/>
      <c r="E20" s="40"/>
      <c r="F20" s="40"/>
      <c r="G20" s="40"/>
      <c r="H20" s="40"/>
      <c r="I20" s="40"/>
      <c r="J20" s="40"/>
      <c r="K20" s="11">
        <v>-2</v>
      </c>
      <c r="M20" s="3"/>
    </row>
    <row r="21" spans="2:13" ht="15.75" x14ac:dyDescent="0.25">
      <c r="B21" s="36" t="s">
        <v>183</v>
      </c>
      <c r="C21" s="37"/>
      <c r="D21" s="37"/>
      <c r="E21" s="37"/>
      <c r="F21" s="37"/>
      <c r="G21" s="37"/>
      <c r="H21" s="37"/>
      <c r="I21" s="37"/>
      <c r="J21" s="37"/>
      <c r="K21" s="10">
        <v>-3</v>
      </c>
      <c r="M21" s="3"/>
    </row>
    <row r="22" spans="2:13" ht="14.25" customHeight="1" x14ac:dyDescent="0.2">
      <c r="B22" s="39" t="s">
        <v>184</v>
      </c>
      <c r="C22" s="40"/>
      <c r="D22" s="40"/>
      <c r="E22" s="40"/>
      <c r="F22" s="40"/>
      <c r="G22" s="40"/>
      <c r="H22" s="40"/>
      <c r="I22" s="40"/>
      <c r="J22" s="40"/>
      <c r="K22" s="11">
        <v>-4</v>
      </c>
      <c r="M22" s="3"/>
    </row>
    <row r="23" spans="2:13" ht="15.75" customHeight="1" x14ac:dyDescent="0.2">
      <c r="B23" s="39" t="s">
        <v>185</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326</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M60"/>
  <sheetViews>
    <sheetView workbookViewId="0">
      <selection activeCell="G41" sqref="G4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377</v>
      </c>
      <c r="D4" s="19"/>
      <c r="E4" s="19"/>
      <c r="F4" s="19"/>
      <c r="G4" s="19"/>
      <c r="H4" s="19"/>
      <c r="I4" s="20"/>
      <c r="J4" s="21" t="s">
        <v>0</v>
      </c>
      <c r="K4" s="22"/>
      <c r="L4" s="22"/>
      <c r="M4" s="23"/>
    </row>
    <row r="5" spans="2:13" ht="24" customHeight="1" thickBot="1" x14ac:dyDescent="0.35">
      <c r="B5" s="14"/>
      <c r="C5" s="24" t="s">
        <v>162</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163</v>
      </c>
      <c r="C9" s="37"/>
      <c r="D9" s="37"/>
      <c r="E9" s="37"/>
      <c r="F9" s="37"/>
      <c r="G9" s="37"/>
      <c r="H9" s="37"/>
      <c r="I9" s="37"/>
      <c r="J9" s="37"/>
      <c r="K9" s="9">
        <v>-2</v>
      </c>
      <c r="L9" s="35"/>
      <c r="M9" s="3"/>
    </row>
    <row r="10" spans="2:13" ht="15.75" x14ac:dyDescent="0.2">
      <c r="B10" s="36" t="s">
        <v>165</v>
      </c>
      <c r="C10" s="37"/>
      <c r="D10" s="37"/>
      <c r="E10" s="37"/>
      <c r="F10" s="37"/>
      <c r="G10" s="37"/>
      <c r="H10" s="37"/>
      <c r="I10" s="37"/>
      <c r="J10" s="37"/>
      <c r="K10" s="9">
        <v>-3</v>
      </c>
      <c r="L10" s="35"/>
      <c r="M10" s="3"/>
    </row>
    <row r="11" spans="2:13" ht="15.75" x14ac:dyDescent="0.2">
      <c r="B11" s="36" t="s">
        <v>164</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166</v>
      </c>
      <c r="C19" s="37"/>
      <c r="D19" s="37"/>
      <c r="E19" s="37"/>
      <c r="F19" s="37"/>
      <c r="G19" s="37"/>
      <c r="H19" s="37"/>
      <c r="I19" s="37"/>
      <c r="J19" s="37"/>
      <c r="K19" s="10">
        <v>-1</v>
      </c>
      <c r="M19" s="3"/>
    </row>
    <row r="20" spans="2:13" ht="15.75" customHeight="1" x14ac:dyDescent="0.2">
      <c r="B20" s="39" t="s">
        <v>167</v>
      </c>
      <c r="C20" s="40"/>
      <c r="D20" s="40"/>
      <c r="E20" s="40"/>
      <c r="F20" s="40"/>
      <c r="G20" s="40"/>
      <c r="H20" s="40"/>
      <c r="I20" s="40"/>
      <c r="J20" s="40"/>
      <c r="K20" s="11">
        <v>-2</v>
      </c>
      <c r="M20" s="3"/>
    </row>
    <row r="21" spans="2:13" ht="15.75" x14ac:dyDescent="0.25">
      <c r="B21" s="36" t="s">
        <v>168</v>
      </c>
      <c r="C21" s="37"/>
      <c r="D21" s="37"/>
      <c r="E21" s="37"/>
      <c r="F21" s="37"/>
      <c r="G21" s="37"/>
      <c r="H21" s="37"/>
      <c r="I21" s="37"/>
      <c r="J21" s="37"/>
      <c r="K21" s="10">
        <v>-3</v>
      </c>
      <c r="M21" s="3"/>
    </row>
    <row r="22" spans="2:13" ht="14.25" customHeight="1" x14ac:dyDescent="0.2">
      <c r="B22" s="39" t="s">
        <v>169</v>
      </c>
      <c r="C22" s="40"/>
      <c r="D22" s="40"/>
      <c r="E22" s="40"/>
      <c r="F22" s="40"/>
      <c r="G22" s="40"/>
      <c r="H22" s="40"/>
      <c r="I22" s="40"/>
      <c r="J22" s="40"/>
      <c r="K22" s="11">
        <v>-4</v>
      </c>
      <c r="M22" s="3"/>
    </row>
    <row r="23" spans="2:13" ht="15.75" customHeight="1" x14ac:dyDescent="0.2">
      <c r="B23" s="39" t="s">
        <v>170</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324</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823F-177D-4E46-AC05-2ACDC295EE22}">
  <dimension ref="B2:M60"/>
  <sheetViews>
    <sheetView workbookViewId="0">
      <selection activeCell="B20" sqref="B20:J2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400</v>
      </c>
      <c r="D4" s="19"/>
      <c r="E4" s="19"/>
      <c r="F4" s="19"/>
      <c r="G4" s="19"/>
      <c r="H4" s="19"/>
      <c r="I4" s="20"/>
      <c r="J4" s="21" t="s">
        <v>0</v>
      </c>
      <c r="K4" s="22"/>
      <c r="L4" s="22"/>
      <c r="M4" s="23"/>
    </row>
    <row r="5" spans="2:13" ht="24" customHeight="1" thickBot="1" x14ac:dyDescent="0.35">
      <c r="B5" s="14"/>
      <c r="C5" s="24" t="s">
        <v>406</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163</v>
      </c>
      <c r="C9" s="37"/>
      <c r="D9" s="37"/>
      <c r="E9" s="37"/>
      <c r="F9" s="37"/>
      <c r="G9" s="37"/>
      <c r="H9" s="37"/>
      <c r="I9" s="37"/>
      <c r="J9" s="37"/>
      <c r="K9" s="9">
        <v>-2</v>
      </c>
      <c r="L9" s="35"/>
      <c r="M9" s="3"/>
    </row>
    <row r="10" spans="2:13" ht="15.75" x14ac:dyDescent="0.2">
      <c r="B10" s="36" t="s">
        <v>165</v>
      </c>
      <c r="C10" s="37"/>
      <c r="D10" s="37"/>
      <c r="E10" s="37"/>
      <c r="F10" s="37"/>
      <c r="G10" s="37"/>
      <c r="H10" s="37"/>
      <c r="I10" s="37"/>
      <c r="J10" s="37"/>
      <c r="K10" s="9">
        <v>-3</v>
      </c>
      <c r="L10" s="35"/>
      <c r="M10" s="3"/>
    </row>
    <row r="11" spans="2:13" ht="15.75" x14ac:dyDescent="0.2">
      <c r="B11" s="36" t="s">
        <v>164</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407</v>
      </c>
      <c r="C19" s="37"/>
      <c r="D19" s="37"/>
      <c r="E19" s="37"/>
      <c r="F19" s="37"/>
      <c r="G19" s="37"/>
      <c r="H19" s="37"/>
      <c r="I19" s="37"/>
      <c r="J19" s="37"/>
      <c r="K19" s="10">
        <v>-1</v>
      </c>
      <c r="M19" s="3"/>
    </row>
    <row r="20" spans="2:13" ht="15.75" customHeight="1" x14ac:dyDescent="0.2">
      <c r="B20" s="60" t="s">
        <v>408</v>
      </c>
      <c r="C20" s="40"/>
      <c r="D20" s="40"/>
      <c r="E20" s="40"/>
      <c r="F20" s="40"/>
      <c r="G20" s="40"/>
      <c r="H20" s="40"/>
      <c r="I20" s="40"/>
      <c r="J20" s="40"/>
      <c r="K20" s="11">
        <v>-2</v>
      </c>
      <c r="M20" s="3"/>
    </row>
    <row r="21" spans="2:13" ht="15.75" x14ac:dyDescent="0.25">
      <c r="B21" s="59" t="s">
        <v>409</v>
      </c>
      <c r="C21" s="37"/>
      <c r="D21" s="37"/>
      <c r="E21" s="37"/>
      <c r="F21" s="37"/>
      <c r="G21" s="37"/>
      <c r="H21" s="37"/>
      <c r="I21" s="37"/>
      <c r="J21" s="37"/>
      <c r="K21" s="10">
        <v>-3</v>
      </c>
      <c r="M21" s="3"/>
    </row>
    <row r="22" spans="2:13" ht="14.25" customHeight="1" x14ac:dyDescent="0.2">
      <c r="B22" s="60" t="s">
        <v>410</v>
      </c>
      <c r="C22" s="40"/>
      <c r="D22" s="40"/>
      <c r="E22" s="40"/>
      <c r="F22" s="40"/>
      <c r="G22" s="40"/>
      <c r="H22" s="40"/>
      <c r="I22" s="40"/>
      <c r="J22" s="40"/>
      <c r="K22" s="11">
        <v>-4</v>
      </c>
      <c r="M22" s="3"/>
    </row>
    <row r="23" spans="2:13" ht="15.75" customHeight="1" x14ac:dyDescent="0.2">
      <c r="B23" s="60" t="s">
        <v>411</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324</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03C6-7CDC-485C-97AB-8102852DAFAB}">
  <dimension ref="B2:M60"/>
  <sheetViews>
    <sheetView workbookViewId="0">
      <selection activeCell="O13" sqref="O13"/>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401</v>
      </c>
      <c r="D4" s="19"/>
      <c r="E4" s="19"/>
      <c r="F4" s="19"/>
      <c r="G4" s="19"/>
      <c r="H4" s="19"/>
      <c r="I4" s="20"/>
      <c r="J4" s="21" t="s">
        <v>0</v>
      </c>
      <c r="K4" s="22"/>
      <c r="L4" s="22"/>
      <c r="M4" s="23"/>
    </row>
    <row r="5" spans="2:13" ht="24" customHeight="1" thickBot="1" x14ac:dyDescent="0.35">
      <c r="B5" s="14"/>
      <c r="C5" s="24" t="s">
        <v>402</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395</v>
      </c>
      <c r="C19" s="37"/>
      <c r="D19" s="37"/>
      <c r="E19" s="37"/>
      <c r="F19" s="37"/>
      <c r="G19" s="37"/>
      <c r="H19" s="37"/>
      <c r="I19" s="37"/>
      <c r="J19" s="37"/>
      <c r="K19" s="10">
        <v>-1</v>
      </c>
      <c r="M19" s="3"/>
    </row>
    <row r="20" spans="2:13" ht="15.75" customHeight="1" x14ac:dyDescent="0.2">
      <c r="B20" s="60" t="s">
        <v>396</v>
      </c>
      <c r="C20" s="40"/>
      <c r="D20" s="40"/>
      <c r="E20" s="40"/>
      <c r="F20" s="40"/>
      <c r="G20" s="40"/>
      <c r="H20" s="40"/>
      <c r="I20" s="40"/>
      <c r="J20" s="40"/>
      <c r="K20" s="11">
        <v>-2</v>
      </c>
      <c r="M20" s="3"/>
    </row>
    <row r="21" spans="2:13" ht="15.75" x14ac:dyDescent="0.25">
      <c r="B21" s="59" t="s">
        <v>403</v>
      </c>
      <c r="C21" s="37"/>
      <c r="D21" s="37"/>
      <c r="E21" s="37"/>
      <c r="F21" s="37"/>
      <c r="G21" s="37"/>
      <c r="H21" s="37"/>
      <c r="I21" s="37"/>
      <c r="J21" s="37"/>
      <c r="K21" s="10">
        <v>-3</v>
      </c>
      <c r="M21" s="3"/>
    </row>
    <row r="22" spans="2:13" ht="14.25" customHeight="1" x14ac:dyDescent="0.2">
      <c r="B22" s="60" t="s">
        <v>404</v>
      </c>
      <c r="C22" s="40"/>
      <c r="D22" s="40"/>
      <c r="E22" s="40"/>
      <c r="F22" s="40"/>
      <c r="G22" s="40"/>
      <c r="H22" s="40"/>
      <c r="I22" s="40"/>
      <c r="J22" s="40"/>
      <c r="K22" s="11">
        <v>-4</v>
      </c>
      <c r="M22" s="3"/>
    </row>
    <row r="23" spans="2:13" ht="15.75" customHeight="1" x14ac:dyDescent="0.2">
      <c r="B23" s="60" t="s">
        <v>405</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325</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46EF-5716-46CF-86AE-6B165700E850}">
  <dimension ref="B2:M60"/>
  <sheetViews>
    <sheetView workbookViewId="0">
      <selection activeCell="B27" sqref="B27:J27"/>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394</v>
      </c>
      <c r="D4" s="19"/>
      <c r="E4" s="19"/>
      <c r="F4" s="19"/>
      <c r="G4" s="19"/>
      <c r="H4" s="19"/>
      <c r="I4" s="20"/>
      <c r="J4" s="21" t="s">
        <v>0</v>
      </c>
      <c r="K4" s="22"/>
      <c r="L4" s="22"/>
      <c r="M4" s="23"/>
    </row>
    <row r="5" spans="2:13" ht="24" customHeight="1" thickBot="1" x14ac:dyDescent="0.35">
      <c r="B5" s="14"/>
      <c r="C5" s="24" t="s">
        <v>393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395</v>
      </c>
      <c r="C19" s="37"/>
      <c r="D19" s="37"/>
      <c r="E19" s="37"/>
      <c r="F19" s="37"/>
      <c r="G19" s="37"/>
      <c r="H19" s="37"/>
      <c r="I19" s="37"/>
      <c r="J19" s="37"/>
      <c r="K19" s="10">
        <v>-1</v>
      </c>
      <c r="M19" s="3"/>
    </row>
    <row r="20" spans="2:13" ht="15.75" customHeight="1" x14ac:dyDescent="0.2">
      <c r="B20" s="60" t="s">
        <v>396</v>
      </c>
      <c r="C20" s="40"/>
      <c r="D20" s="40"/>
      <c r="E20" s="40"/>
      <c r="F20" s="40"/>
      <c r="G20" s="40"/>
      <c r="H20" s="40"/>
      <c r="I20" s="40"/>
      <c r="J20" s="40"/>
      <c r="K20" s="11">
        <v>-2</v>
      </c>
      <c r="M20" s="3"/>
    </row>
    <row r="21" spans="2:13" ht="15.75" x14ac:dyDescent="0.25">
      <c r="B21" s="59" t="s">
        <v>397</v>
      </c>
      <c r="C21" s="37"/>
      <c r="D21" s="37"/>
      <c r="E21" s="37"/>
      <c r="F21" s="37"/>
      <c r="G21" s="37"/>
      <c r="H21" s="37"/>
      <c r="I21" s="37"/>
      <c r="J21" s="37"/>
      <c r="K21" s="10">
        <v>-3</v>
      </c>
      <c r="M21" s="3"/>
    </row>
    <row r="22" spans="2:13" ht="14.25" customHeight="1" x14ac:dyDescent="0.2">
      <c r="B22" s="60" t="s">
        <v>398</v>
      </c>
      <c r="C22" s="40"/>
      <c r="D22" s="40"/>
      <c r="E22" s="40"/>
      <c r="F22" s="40"/>
      <c r="G22" s="40"/>
      <c r="H22" s="40"/>
      <c r="I22" s="40"/>
      <c r="J22" s="40"/>
      <c r="K22" s="11">
        <v>-4</v>
      </c>
      <c r="M22" s="3"/>
    </row>
    <row r="23" spans="2:13" ht="15.75" customHeight="1" x14ac:dyDescent="0.2">
      <c r="B23" s="60" t="s">
        <v>399</v>
      </c>
      <c r="C23" s="40"/>
      <c r="D23" s="40"/>
      <c r="E23" s="40"/>
      <c r="F23" s="40"/>
      <c r="G23" s="40"/>
      <c r="H23" s="40"/>
      <c r="I23" s="40"/>
      <c r="J23" s="40"/>
      <c r="K23" s="11">
        <v>-5</v>
      </c>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325</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60"/>
  <sheetViews>
    <sheetView workbookViewId="0">
      <selection activeCell="B21" sqref="B21:J2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378</v>
      </c>
      <c r="D4" s="19"/>
      <c r="E4" s="19"/>
      <c r="F4" s="19"/>
      <c r="G4" s="19"/>
      <c r="H4" s="19"/>
      <c r="I4" s="20"/>
      <c r="J4" s="21" t="s">
        <v>0</v>
      </c>
      <c r="K4" s="22"/>
      <c r="L4" s="22"/>
      <c r="M4" s="23"/>
    </row>
    <row r="5" spans="2:13" ht="24" customHeight="1" thickBot="1" x14ac:dyDescent="0.35">
      <c r="B5" s="14"/>
      <c r="C5" s="24" t="s">
        <v>171</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172</v>
      </c>
      <c r="C19" s="37"/>
      <c r="D19" s="37"/>
      <c r="E19" s="37"/>
      <c r="F19" s="37"/>
      <c r="G19" s="37"/>
      <c r="H19" s="37"/>
      <c r="I19" s="37"/>
      <c r="J19" s="37"/>
      <c r="K19" s="10">
        <v>-1</v>
      </c>
      <c r="M19" s="3"/>
    </row>
    <row r="20" spans="2:13" ht="15.75" customHeight="1" x14ac:dyDescent="0.2">
      <c r="B20" s="39" t="s">
        <v>173</v>
      </c>
      <c r="C20" s="40"/>
      <c r="D20" s="40"/>
      <c r="E20" s="40"/>
      <c r="F20" s="40"/>
      <c r="G20" s="40"/>
      <c r="H20" s="40"/>
      <c r="I20" s="40"/>
      <c r="J20" s="40"/>
      <c r="K20" s="11">
        <v>-2</v>
      </c>
      <c r="M20" s="3"/>
    </row>
    <row r="21" spans="2:13" ht="15.75" x14ac:dyDescent="0.25">
      <c r="B21" s="36" t="s">
        <v>174</v>
      </c>
      <c r="C21" s="37"/>
      <c r="D21" s="37"/>
      <c r="E21" s="37"/>
      <c r="F21" s="37"/>
      <c r="G21" s="37"/>
      <c r="H21" s="37"/>
      <c r="I21" s="37"/>
      <c r="J21" s="37"/>
      <c r="K21" s="10">
        <v>-3</v>
      </c>
      <c r="M21" s="3"/>
    </row>
    <row r="22" spans="2:13" ht="14.25" customHeight="1" x14ac:dyDescent="0.2">
      <c r="B22" s="39" t="s">
        <v>175</v>
      </c>
      <c r="C22" s="40"/>
      <c r="D22" s="40"/>
      <c r="E22" s="40"/>
      <c r="F22" s="40"/>
      <c r="G22" s="40"/>
      <c r="H22" s="40"/>
      <c r="I22" s="40"/>
      <c r="J22" s="40"/>
      <c r="K22" s="11">
        <v>-4</v>
      </c>
      <c r="M22" s="3"/>
    </row>
    <row r="23" spans="2:13" ht="15.75" customHeight="1" x14ac:dyDescent="0.2">
      <c r="B23" s="39" t="s">
        <v>176</v>
      </c>
      <c r="C23" s="40"/>
      <c r="D23" s="40"/>
      <c r="E23" s="40"/>
      <c r="F23" s="40"/>
      <c r="G23" s="40"/>
      <c r="H23" s="40"/>
      <c r="I23" s="40"/>
      <c r="J23" s="40"/>
      <c r="K23" s="11">
        <v>-5</v>
      </c>
      <c r="M23" s="3"/>
    </row>
    <row r="24" spans="2:13" ht="15.75" x14ac:dyDescent="0.2">
      <c r="B24" s="36" t="s">
        <v>177</v>
      </c>
      <c r="C24" s="37"/>
      <c r="D24" s="37"/>
      <c r="E24" s="37"/>
      <c r="F24" s="37"/>
      <c r="G24" s="37"/>
      <c r="H24" s="37"/>
      <c r="I24" s="37"/>
      <c r="J24" s="37"/>
      <c r="K24" s="11">
        <v>-6</v>
      </c>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325</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M60"/>
  <sheetViews>
    <sheetView workbookViewId="0">
      <selection activeCell="E40" sqref="E40"/>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376</v>
      </c>
      <c r="D4" s="19"/>
      <c r="E4" s="19"/>
      <c r="F4" s="19"/>
      <c r="G4" s="19"/>
      <c r="H4" s="19"/>
      <c r="I4" s="20"/>
      <c r="J4" s="21" t="s">
        <v>0</v>
      </c>
      <c r="K4" s="22"/>
      <c r="L4" s="22"/>
      <c r="M4" s="23"/>
    </row>
    <row r="5" spans="2:13" ht="24" customHeight="1" thickBot="1" x14ac:dyDescent="0.35">
      <c r="B5" s="14"/>
      <c r="C5" s="24" t="s">
        <v>148</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149</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150</v>
      </c>
      <c r="C19" s="37"/>
      <c r="D19" s="37"/>
      <c r="E19" s="37"/>
      <c r="F19" s="37"/>
      <c r="G19" s="37"/>
      <c r="H19" s="37"/>
      <c r="I19" s="37"/>
      <c r="J19" s="37"/>
      <c r="K19" s="10">
        <v>-1</v>
      </c>
      <c r="M19" s="3"/>
    </row>
    <row r="20" spans="2:13" ht="15.75" customHeight="1" x14ac:dyDescent="0.2">
      <c r="B20" s="39" t="s">
        <v>151</v>
      </c>
      <c r="C20" s="40"/>
      <c r="D20" s="40"/>
      <c r="E20" s="40"/>
      <c r="F20" s="40"/>
      <c r="G20" s="40"/>
      <c r="H20" s="40"/>
      <c r="I20" s="40"/>
      <c r="J20" s="40"/>
      <c r="K20" s="11">
        <v>-2</v>
      </c>
      <c r="M20" s="3"/>
    </row>
    <row r="21" spans="2:13" ht="15.75" x14ac:dyDescent="0.25">
      <c r="B21" s="36" t="s">
        <v>152</v>
      </c>
      <c r="C21" s="37"/>
      <c r="D21" s="37"/>
      <c r="E21" s="37"/>
      <c r="F21" s="37"/>
      <c r="G21" s="37"/>
      <c r="H21" s="37"/>
      <c r="I21" s="37"/>
      <c r="J21" s="37"/>
      <c r="K21" s="10">
        <v>-3</v>
      </c>
      <c r="M21" s="3"/>
    </row>
    <row r="22" spans="2:13" ht="14.25" customHeight="1" x14ac:dyDescent="0.2">
      <c r="B22" s="39" t="s">
        <v>153</v>
      </c>
      <c r="C22" s="40"/>
      <c r="D22" s="40"/>
      <c r="E22" s="40"/>
      <c r="F22" s="40"/>
      <c r="G22" s="40"/>
      <c r="H22" s="40"/>
      <c r="I22" s="40"/>
      <c r="J22" s="40"/>
      <c r="K22" s="11">
        <v>-4</v>
      </c>
      <c r="M22" s="3"/>
    </row>
    <row r="23" spans="2:13" ht="15.75" customHeight="1" x14ac:dyDescent="0.2">
      <c r="B23" s="39" t="s">
        <v>154</v>
      </c>
      <c r="C23" s="40"/>
      <c r="D23" s="40"/>
      <c r="E23" s="40"/>
      <c r="F23" s="40"/>
      <c r="G23" s="40"/>
      <c r="H23" s="40"/>
      <c r="I23" s="40"/>
      <c r="J23" s="40"/>
      <c r="K23" s="11">
        <v>-5</v>
      </c>
      <c r="M23" s="3"/>
    </row>
    <row r="24" spans="2:13" ht="15.75" x14ac:dyDescent="0.2">
      <c r="B24" s="36" t="s">
        <v>155</v>
      </c>
      <c r="C24" s="37"/>
      <c r="D24" s="37"/>
      <c r="E24" s="37"/>
      <c r="F24" s="37"/>
      <c r="G24" s="37"/>
      <c r="H24" s="37"/>
      <c r="I24" s="37"/>
      <c r="J24" s="37"/>
      <c r="K24" s="11">
        <v>-6</v>
      </c>
      <c r="M24" s="3"/>
    </row>
    <row r="25" spans="2:13" ht="15.75" x14ac:dyDescent="0.2">
      <c r="B25" s="36" t="s">
        <v>156</v>
      </c>
      <c r="C25" s="37"/>
      <c r="D25" s="37"/>
      <c r="E25" s="37"/>
      <c r="F25" s="37"/>
      <c r="G25" s="37"/>
      <c r="H25" s="37"/>
      <c r="I25" s="37"/>
      <c r="J25" s="37"/>
      <c r="K25" s="11">
        <v>-7</v>
      </c>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322</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5C51-C5A7-43AE-AFE6-77BF48DFAC6B}">
  <dimension ref="B2:M60"/>
  <sheetViews>
    <sheetView workbookViewId="0">
      <selection activeCell="B27" sqref="B27:J27"/>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383</v>
      </c>
      <c r="D4" s="19"/>
      <c r="E4" s="19"/>
      <c r="F4" s="19"/>
      <c r="G4" s="19"/>
      <c r="H4" s="19"/>
      <c r="I4" s="20"/>
      <c r="J4" s="21" t="s">
        <v>0</v>
      </c>
      <c r="K4" s="22"/>
      <c r="L4" s="22"/>
      <c r="M4" s="23"/>
    </row>
    <row r="5" spans="2:13" ht="24" customHeight="1" thickBot="1" x14ac:dyDescent="0.35">
      <c r="B5" s="14"/>
      <c r="C5" s="24" t="s">
        <v>384</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59" t="s">
        <v>387</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388</v>
      </c>
      <c r="C19" s="37"/>
      <c r="D19" s="37"/>
      <c r="E19" s="37"/>
      <c r="F19" s="37"/>
      <c r="G19" s="37"/>
      <c r="H19" s="37"/>
      <c r="I19" s="37"/>
      <c r="J19" s="37"/>
      <c r="K19" s="10">
        <v>-1</v>
      </c>
      <c r="M19" s="3"/>
    </row>
    <row r="20" spans="2:13" ht="15.75" customHeight="1" x14ac:dyDescent="0.2">
      <c r="B20" s="60" t="s">
        <v>385</v>
      </c>
      <c r="C20" s="40"/>
      <c r="D20" s="40"/>
      <c r="E20" s="40"/>
      <c r="F20" s="40"/>
      <c r="G20" s="40"/>
      <c r="H20" s="40"/>
      <c r="I20" s="40"/>
      <c r="J20" s="40"/>
      <c r="K20" s="11">
        <v>-2</v>
      </c>
      <c r="M20" s="3"/>
    </row>
    <row r="21" spans="2:13" ht="15.75" x14ac:dyDescent="0.25">
      <c r="B21" s="59" t="s">
        <v>386</v>
      </c>
      <c r="C21" s="37"/>
      <c r="D21" s="37"/>
      <c r="E21" s="37"/>
      <c r="F21" s="37"/>
      <c r="G21" s="37"/>
      <c r="H21" s="37"/>
      <c r="I21" s="37"/>
      <c r="J21" s="37"/>
      <c r="K21" s="10">
        <v>-3</v>
      </c>
      <c r="M21" s="3"/>
    </row>
    <row r="22" spans="2:13" ht="14.25" customHeight="1" x14ac:dyDescent="0.2">
      <c r="B22" s="60" t="s">
        <v>389</v>
      </c>
      <c r="C22" s="40"/>
      <c r="D22" s="40"/>
      <c r="E22" s="40"/>
      <c r="F22" s="40"/>
      <c r="G22" s="40"/>
      <c r="H22" s="40"/>
      <c r="I22" s="40"/>
      <c r="J22" s="40"/>
      <c r="K22" s="11">
        <v>-4</v>
      </c>
      <c r="M22" s="3"/>
    </row>
    <row r="23" spans="2:13" ht="15.75" customHeight="1" x14ac:dyDescent="0.2">
      <c r="B23" s="60" t="s">
        <v>390</v>
      </c>
      <c r="C23" s="40"/>
      <c r="D23" s="40"/>
      <c r="E23" s="40"/>
      <c r="F23" s="40"/>
      <c r="G23" s="40"/>
      <c r="H23" s="40"/>
      <c r="I23" s="40"/>
      <c r="J23" s="40"/>
      <c r="K23" s="11">
        <v>-5</v>
      </c>
      <c r="M23" s="3"/>
    </row>
    <row r="24" spans="2:13" ht="15.75" x14ac:dyDescent="0.2">
      <c r="B24" s="59" t="s">
        <v>391</v>
      </c>
      <c r="C24" s="37"/>
      <c r="D24" s="37"/>
      <c r="E24" s="37"/>
      <c r="F24" s="37"/>
      <c r="G24" s="37"/>
      <c r="H24" s="37"/>
      <c r="I24" s="37"/>
      <c r="J24" s="37"/>
      <c r="K24" s="11">
        <v>-6</v>
      </c>
      <c r="M24" s="3"/>
    </row>
    <row r="25" spans="2:13" ht="15.75" x14ac:dyDescent="0.2">
      <c r="B25" s="59" t="s">
        <v>392</v>
      </c>
      <c r="C25" s="37"/>
      <c r="D25" s="37"/>
      <c r="E25" s="37"/>
      <c r="F25" s="37"/>
      <c r="G25" s="37"/>
      <c r="H25" s="37"/>
      <c r="I25" s="37"/>
      <c r="J25" s="37"/>
      <c r="K25" s="11">
        <v>-7</v>
      </c>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322</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M60"/>
  <sheetViews>
    <sheetView workbookViewId="0">
      <selection activeCell="V18" sqref="V18"/>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355</v>
      </c>
      <c r="D4" s="19"/>
      <c r="E4" s="19"/>
      <c r="F4" s="19"/>
      <c r="G4" s="19"/>
      <c r="H4" s="19"/>
      <c r="I4" s="20"/>
      <c r="J4" s="21" t="s">
        <v>0</v>
      </c>
      <c r="K4" s="22"/>
      <c r="L4" s="22"/>
      <c r="M4" s="23"/>
    </row>
    <row r="5" spans="2:13" ht="24" customHeight="1" thickBot="1" x14ac:dyDescent="0.35">
      <c r="B5" s="14"/>
      <c r="C5" s="24" t="s">
        <v>133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134</v>
      </c>
      <c r="C9" s="37"/>
      <c r="D9" s="37"/>
      <c r="E9" s="37"/>
      <c r="F9" s="37"/>
      <c r="G9" s="37"/>
      <c r="H9" s="37"/>
      <c r="I9" s="37"/>
      <c r="J9" s="37"/>
      <c r="K9" s="9">
        <v>-2</v>
      </c>
      <c r="L9" s="35"/>
      <c r="M9" s="3"/>
    </row>
    <row r="10" spans="2:13" ht="15.75" x14ac:dyDescent="0.2">
      <c r="B10" s="36" t="s">
        <v>135</v>
      </c>
      <c r="C10" s="37"/>
      <c r="D10" s="37"/>
      <c r="E10" s="37"/>
      <c r="F10" s="37"/>
      <c r="G10" s="37"/>
      <c r="H10" s="37"/>
      <c r="I10" s="37"/>
      <c r="J10" s="37"/>
      <c r="K10" s="9">
        <v>-3</v>
      </c>
      <c r="L10" s="35"/>
      <c r="M10" s="3"/>
    </row>
    <row r="11" spans="2:13" ht="15.75" x14ac:dyDescent="0.2">
      <c r="B11" s="36" t="s">
        <v>136</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33.75" customHeight="1" x14ac:dyDescent="0.2">
      <c r="B20" s="39" t="s">
        <v>137</v>
      </c>
      <c r="C20" s="40"/>
      <c r="D20" s="40"/>
      <c r="E20" s="40"/>
      <c r="F20" s="40"/>
      <c r="G20" s="40"/>
      <c r="H20" s="40"/>
      <c r="I20" s="40"/>
      <c r="J20" s="40"/>
      <c r="K20" s="11">
        <v>-2</v>
      </c>
      <c r="M20" s="3"/>
    </row>
    <row r="21" spans="2:13" ht="15.75" x14ac:dyDescent="0.25">
      <c r="B21" s="36" t="s">
        <v>138</v>
      </c>
      <c r="C21" s="37"/>
      <c r="D21" s="37"/>
      <c r="E21" s="37"/>
      <c r="F21" s="37"/>
      <c r="G21" s="37"/>
      <c r="H21" s="37"/>
      <c r="I21" s="37"/>
      <c r="J21" s="37"/>
      <c r="K21" s="10">
        <v>-3</v>
      </c>
      <c r="M21" s="3"/>
    </row>
    <row r="22" spans="2:13" ht="14.25" customHeight="1" x14ac:dyDescent="0.2">
      <c r="B22" s="39" t="s">
        <v>139</v>
      </c>
      <c r="C22" s="40"/>
      <c r="D22" s="40"/>
      <c r="E22" s="40"/>
      <c r="F22" s="40"/>
      <c r="G22" s="40"/>
      <c r="H22" s="40"/>
      <c r="I22" s="40"/>
      <c r="J22" s="40"/>
      <c r="K22" s="11">
        <v>-4</v>
      </c>
      <c r="M22" s="3"/>
    </row>
    <row r="23" spans="2:13" ht="15.75" customHeight="1" x14ac:dyDescent="0.25">
      <c r="B23" s="39" t="s">
        <v>140</v>
      </c>
      <c r="C23" s="40"/>
      <c r="D23" s="40"/>
      <c r="E23" s="40"/>
      <c r="F23" s="40"/>
      <c r="G23" s="40"/>
      <c r="H23" s="40"/>
      <c r="I23" s="40"/>
      <c r="J23" s="40"/>
      <c r="K23" s="10">
        <v>-5</v>
      </c>
      <c r="M23" s="3"/>
    </row>
    <row r="24" spans="2:13" ht="15.75" x14ac:dyDescent="0.25">
      <c r="B24" s="36"/>
      <c r="C24" s="37"/>
      <c r="D24" s="37"/>
      <c r="E24" s="37"/>
      <c r="F24" s="37"/>
      <c r="G24" s="37"/>
      <c r="H24" s="37"/>
      <c r="I24" s="37"/>
      <c r="J24" s="37"/>
      <c r="K24" s="10"/>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320</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M60"/>
  <sheetViews>
    <sheetView workbookViewId="0">
      <selection activeCell="R12" sqref="R12"/>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357</v>
      </c>
      <c r="D4" s="19"/>
      <c r="E4" s="19"/>
      <c r="F4" s="19"/>
      <c r="G4" s="19"/>
      <c r="H4" s="19"/>
      <c r="I4" s="20"/>
      <c r="J4" s="21" t="s">
        <v>0</v>
      </c>
      <c r="K4" s="22"/>
      <c r="L4" s="22"/>
      <c r="M4" s="23"/>
    </row>
    <row r="5" spans="2:13" ht="24" customHeight="1" thickBot="1" x14ac:dyDescent="0.35">
      <c r="B5" s="14"/>
      <c r="C5" s="24" t="s">
        <v>82</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84</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85</v>
      </c>
      <c r="C20" s="37"/>
      <c r="D20" s="37"/>
      <c r="E20" s="37"/>
      <c r="F20" s="37"/>
      <c r="G20" s="37"/>
      <c r="H20" s="37"/>
      <c r="I20" s="37"/>
      <c r="J20" s="37"/>
      <c r="K20" s="10">
        <v>-2</v>
      </c>
      <c r="M20" s="3"/>
    </row>
    <row r="21" spans="2:13" ht="15.75" x14ac:dyDescent="0.25">
      <c r="B21" s="36" t="s">
        <v>86</v>
      </c>
      <c r="C21" s="37"/>
      <c r="D21" s="37"/>
      <c r="E21" s="37"/>
      <c r="F21" s="37"/>
      <c r="G21" s="37"/>
      <c r="H21" s="37"/>
      <c r="I21" s="37"/>
      <c r="J21" s="37"/>
      <c r="K21" s="10">
        <v>-3</v>
      </c>
      <c r="M21" s="3"/>
    </row>
    <row r="22" spans="2:13" ht="14.25" customHeight="1" x14ac:dyDescent="0.2">
      <c r="B22" s="39" t="s">
        <v>87</v>
      </c>
      <c r="C22" s="40"/>
      <c r="D22" s="40"/>
      <c r="E22" s="40"/>
      <c r="F22" s="40"/>
      <c r="G22" s="40"/>
      <c r="H22" s="40"/>
      <c r="I22" s="40"/>
      <c r="J22" s="40"/>
      <c r="K22" s="11">
        <v>-4</v>
      </c>
      <c r="M22" s="3"/>
    </row>
    <row r="23" spans="2:13" ht="15.75" x14ac:dyDescent="0.25">
      <c r="B23" s="36" t="s">
        <v>88</v>
      </c>
      <c r="C23" s="37"/>
      <c r="D23" s="37"/>
      <c r="E23" s="37"/>
      <c r="F23" s="37"/>
      <c r="G23" s="37"/>
      <c r="H23" s="37"/>
      <c r="I23" s="37"/>
      <c r="J23" s="37"/>
      <c r="K23" s="10">
        <v>-5</v>
      </c>
      <c r="M23" s="3"/>
    </row>
    <row r="24" spans="2:13" ht="15.75" x14ac:dyDescent="0.25">
      <c r="B24" s="36" t="s">
        <v>89</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313</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M60"/>
  <sheetViews>
    <sheetView workbookViewId="0">
      <selection activeCell="D42" sqref="D42"/>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356</v>
      </c>
      <c r="D4" s="19"/>
      <c r="E4" s="19"/>
      <c r="F4" s="19"/>
      <c r="G4" s="19"/>
      <c r="H4" s="19"/>
      <c r="I4" s="20"/>
      <c r="J4" s="21" t="s">
        <v>0</v>
      </c>
      <c r="K4" s="22"/>
      <c r="L4" s="22"/>
      <c r="M4" s="23"/>
    </row>
    <row r="5" spans="2:13" ht="24" customHeight="1" thickBot="1" x14ac:dyDescent="0.35">
      <c r="B5" s="14"/>
      <c r="C5" s="24" t="s">
        <v>143</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134</v>
      </c>
      <c r="C9" s="37"/>
      <c r="D9" s="37"/>
      <c r="E9" s="37"/>
      <c r="F9" s="37"/>
      <c r="G9" s="37"/>
      <c r="H9" s="37"/>
      <c r="I9" s="37"/>
      <c r="J9" s="37"/>
      <c r="K9" s="9">
        <v>-2</v>
      </c>
      <c r="L9" s="35"/>
      <c r="M9" s="3"/>
    </row>
    <row r="10" spans="2:13" ht="15.75" x14ac:dyDescent="0.2">
      <c r="B10" s="36" t="s">
        <v>141</v>
      </c>
      <c r="C10" s="37"/>
      <c r="D10" s="37"/>
      <c r="E10" s="37"/>
      <c r="F10" s="37"/>
      <c r="G10" s="37"/>
      <c r="H10" s="37"/>
      <c r="I10" s="37"/>
      <c r="J10" s="37"/>
      <c r="K10" s="9">
        <v>-3</v>
      </c>
      <c r="L10" s="35"/>
      <c r="M10" s="3"/>
    </row>
    <row r="11" spans="2:13" ht="15.75" x14ac:dyDescent="0.2">
      <c r="B11" s="36" t="s">
        <v>142</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144</v>
      </c>
      <c r="C19" s="37"/>
      <c r="D19" s="37"/>
      <c r="E19" s="37"/>
      <c r="F19" s="37"/>
      <c r="G19" s="37"/>
      <c r="H19" s="37"/>
      <c r="I19" s="37"/>
      <c r="J19" s="37"/>
      <c r="K19" s="10">
        <v>-1</v>
      </c>
      <c r="M19" s="3"/>
    </row>
    <row r="20" spans="2:13" ht="15.75" customHeight="1" x14ac:dyDescent="0.2">
      <c r="B20" s="39" t="s">
        <v>145</v>
      </c>
      <c r="C20" s="40"/>
      <c r="D20" s="40"/>
      <c r="E20" s="40"/>
      <c r="F20" s="40"/>
      <c r="G20" s="40"/>
      <c r="H20" s="40"/>
      <c r="I20" s="40"/>
      <c r="J20" s="40"/>
      <c r="K20" s="11">
        <v>-2</v>
      </c>
      <c r="M20" s="3"/>
    </row>
    <row r="21" spans="2:13" ht="15.75" x14ac:dyDescent="0.25">
      <c r="B21" s="36" t="s">
        <v>146</v>
      </c>
      <c r="C21" s="37"/>
      <c r="D21" s="37"/>
      <c r="E21" s="37"/>
      <c r="F21" s="37"/>
      <c r="G21" s="37"/>
      <c r="H21" s="37"/>
      <c r="I21" s="37"/>
      <c r="J21" s="37"/>
      <c r="K21" s="10">
        <v>-3</v>
      </c>
      <c r="M21" s="3"/>
    </row>
    <row r="22" spans="2:13" ht="14.25" customHeight="1" x14ac:dyDescent="0.2">
      <c r="B22" s="39" t="s">
        <v>147</v>
      </c>
      <c r="C22" s="40"/>
      <c r="D22" s="40"/>
      <c r="E22" s="40"/>
      <c r="F22" s="40"/>
      <c r="G22" s="40"/>
      <c r="H22" s="40"/>
      <c r="I22" s="40"/>
      <c r="J22" s="40"/>
      <c r="K22" s="11">
        <v>-4</v>
      </c>
      <c r="M22" s="3"/>
    </row>
    <row r="23" spans="2:13" ht="15.75" customHeight="1" x14ac:dyDescent="0.25">
      <c r="B23" s="39"/>
      <c r="C23" s="40"/>
      <c r="D23" s="40"/>
      <c r="E23" s="40"/>
      <c r="F23" s="40"/>
      <c r="G23" s="40"/>
      <c r="H23" s="40"/>
      <c r="I23" s="40"/>
      <c r="J23" s="40"/>
      <c r="K23" s="10"/>
      <c r="M23" s="3"/>
    </row>
    <row r="24" spans="2:13" ht="15.75" x14ac:dyDescent="0.25">
      <c r="B24" s="36"/>
      <c r="C24" s="37"/>
      <c r="D24" s="37"/>
      <c r="E24" s="37"/>
      <c r="F24" s="37"/>
      <c r="G24" s="37"/>
      <c r="H24" s="37"/>
      <c r="I24" s="37"/>
      <c r="J24" s="37"/>
      <c r="K24" s="10"/>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321</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002D-E011-4004-A327-37E1550963F3}">
  <dimension ref="B2:M60"/>
  <sheetViews>
    <sheetView workbookViewId="0">
      <selection activeCell="P22" sqref="P22"/>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373</v>
      </c>
      <c r="D4" s="19"/>
      <c r="E4" s="19"/>
      <c r="F4" s="19"/>
      <c r="G4" s="19"/>
      <c r="H4" s="19"/>
      <c r="I4" s="20"/>
      <c r="J4" s="21" t="s">
        <v>0</v>
      </c>
      <c r="K4" s="22"/>
      <c r="L4" s="22"/>
      <c r="M4" s="23"/>
    </row>
    <row r="5" spans="2:13" ht="24" customHeight="1" thickBot="1" x14ac:dyDescent="0.35">
      <c r="B5" s="14"/>
      <c r="C5" s="24" t="s">
        <v>372</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76</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368</v>
      </c>
      <c r="C19" s="37"/>
      <c r="D19" s="37"/>
      <c r="E19" s="37"/>
      <c r="F19" s="37"/>
      <c r="G19" s="37"/>
      <c r="H19" s="37"/>
      <c r="I19" s="37"/>
      <c r="J19" s="37"/>
      <c r="K19" s="10">
        <v>-1</v>
      </c>
      <c r="M19" s="3"/>
    </row>
    <row r="20" spans="2:13" ht="15.75" x14ac:dyDescent="0.25">
      <c r="B20" s="59" t="s">
        <v>369</v>
      </c>
      <c r="C20" s="37"/>
      <c r="D20" s="37"/>
      <c r="E20" s="37"/>
      <c r="F20" s="37"/>
      <c r="G20" s="37"/>
      <c r="H20" s="37"/>
      <c r="I20" s="37"/>
      <c r="J20" s="37"/>
      <c r="K20" s="10">
        <v>-2</v>
      </c>
      <c r="M20" s="3"/>
    </row>
    <row r="21" spans="2:13" ht="15.75" x14ac:dyDescent="0.25">
      <c r="B21" s="59" t="s">
        <v>370</v>
      </c>
      <c r="C21" s="37"/>
      <c r="D21" s="37"/>
      <c r="E21" s="37"/>
      <c r="F21" s="37"/>
      <c r="G21" s="37"/>
      <c r="H21" s="37"/>
      <c r="I21" s="37"/>
      <c r="J21" s="37"/>
      <c r="K21" s="10">
        <v>-3</v>
      </c>
      <c r="M21" s="3"/>
    </row>
    <row r="22" spans="2:13" ht="14.25" customHeight="1" x14ac:dyDescent="0.2">
      <c r="B22" s="60" t="s">
        <v>374</v>
      </c>
      <c r="C22" s="40"/>
      <c r="D22" s="40"/>
      <c r="E22" s="40"/>
      <c r="F22" s="40"/>
      <c r="G22" s="40"/>
      <c r="H22" s="40"/>
      <c r="I22" s="40"/>
      <c r="J22" s="40"/>
      <c r="K22" s="11">
        <v>-4</v>
      </c>
      <c r="M22" s="3"/>
    </row>
    <row r="23" spans="2:13" ht="15.75" customHeight="1" x14ac:dyDescent="0.25">
      <c r="B23" s="60" t="s">
        <v>375</v>
      </c>
      <c r="C23" s="40"/>
      <c r="D23" s="40"/>
      <c r="E23" s="40"/>
      <c r="F23" s="40"/>
      <c r="G23" s="40"/>
      <c r="H23" s="40"/>
      <c r="I23" s="40"/>
      <c r="J23" s="40"/>
      <c r="K23" s="10">
        <v>-5</v>
      </c>
      <c r="M23" s="3"/>
    </row>
    <row r="24" spans="2:13" ht="15.75" x14ac:dyDescent="0.25">
      <c r="B24" s="36"/>
      <c r="C24" s="37"/>
      <c r="D24" s="37"/>
      <c r="E24" s="37"/>
      <c r="F24" s="37"/>
      <c r="G24" s="37"/>
      <c r="H24" s="37"/>
      <c r="I24" s="37"/>
      <c r="J24" s="37"/>
      <c r="K24" s="10"/>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319</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EB97-3146-4430-9A17-73CBDC83F9A5}">
  <dimension ref="B2:M60"/>
  <sheetViews>
    <sheetView workbookViewId="0">
      <selection activeCell="K28" sqref="K28"/>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366</v>
      </c>
      <c r="D4" s="19"/>
      <c r="E4" s="19"/>
      <c r="F4" s="19"/>
      <c r="G4" s="19"/>
      <c r="H4" s="19"/>
      <c r="I4" s="20"/>
      <c r="J4" s="21" t="s">
        <v>0</v>
      </c>
      <c r="K4" s="22"/>
      <c r="L4" s="22"/>
      <c r="M4" s="23"/>
    </row>
    <row r="5" spans="2:13" ht="24" customHeight="1" thickBot="1" x14ac:dyDescent="0.35">
      <c r="B5" s="14"/>
      <c r="C5" s="24" t="s">
        <v>367</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76</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368</v>
      </c>
      <c r="C19" s="37"/>
      <c r="D19" s="37"/>
      <c r="E19" s="37"/>
      <c r="F19" s="37"/>
      <c r="G19" s="37"/>
      <c r="H19" s="37"/>
      <c r="I19" s="37"/>
      <c r="J19" s="37"/>
      <c r="K19" s="10">
        <v>-1</v>
      </c>
      <c r="M19" s="3"/>
    </row>
    <row r="20" spans="2:13" ht="15.75" x14ac:dyDescent="0.25">
      <c r="B20" s="59" t="s">
        <v>369</v>
      </c>
      <c r="C20" s="37"/>
      <c r="D20" s="37"/>
      <c r="E20" s="37"/>
      <c r="F20" s="37"/>
      <c r="G20" s="37"/>
      <c r="H20" s="37"/>
      <c r="I20" s="37"/>
      <c r="J20" s="37"/>
      <c r="K20" s="10">
        <v>-2</v>
      </c>
      <c r="M20" s="3"/>
    </row>
    <row r="21" spans="2:13" ht="15.75" x14ac:dyDescent="0.25">
      <c r="B21" s="59" t="s">
        <v>370</v>
      </c>
      <c r="C21" s="37"/>
      <c r="D21" s="37"/>
      <c r="E21" s="37"/>
      <c r="F21" s="37"/>
      <c r="G21" s="37"/>
      <c r="H21" s="37"/>
      <c r="I21" s="37"/>
      <c r="J21" s="37"/>
      <c r="K21" s="10">
        <v>-3</v>
      </c>
      <c r="M21" s="3"/>
    </row>
    <row r="22" spans="2:13" ht="14.25" customHeight="1" x14ac:dyDescent="0.2">
      <c r="B22" s="60" t="s">
        <v>371</v>
      </c>
      <c r="C22" s="40"/>
      <c r="D22" s="40"/>
      <c r="E22" s="40"/>
      <c r="F22" s="40"/>
      <c r="G22" s="40"/>
      <c r="H22" s="40"/>
      <c r="I22" s="40"/>
      <c r="J22" s="40"/>
      <c r="K22" s="11">
        <v>-4</v>
      </c>
      <c r="M22" s="3"/>
    </row>
    <row r="23" spans="2:13" ht="15.75" customHeight="1" x14ac:dyDescent="0.25">
      <c r="B23" s="39"/>
      <c r="C23" s="40"/>
      <c r="D23" s="40"/>
      <c r="E23" s="40"/>
      <c r="F23" s="40"/>
      <c r="G23" s="40"/>
      <c r="H23" s="40"/>
      <c r="I23" s="40"/>
      <c r="J23" s="40"/>
      <c r="K23" s="10"/>
      <c r="M23" s="3"/>
    </row>
    <row r="24" spans="2:13" ht="15.75" x14ac:dyDescent="0.25">
      <c r="B24" s="36"/>
      <c r="C24" s="37"/>
      <c r="D24" s="37"/>
      <c r="E24" s="37"/>
      <c r="F24" s="37"/>
      <c r="G24" s="37"/>
      <c r="H24" s="37"/>
      <c r="I24" s="37"/>
      <c r="J24" s="37"/>
      <c r="K24" s="10"/>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319</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M60"/>
  <sheetViews>
    <sheetView workbookViewId="0">
      <selection activeCell="D43" sqref="D43"/>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354</v>
      </c>
      <c r="D4" s="19"/>
      <c r="E4" s="19"/>
      <c r="F4" s="19"/>
      <c r="G4" s="19"/>
      <c r="H4" s="19"/>
      <c r="I4" s="20"/>
      <c r="J4" s="21" t="s">
        <v>0</v>
      </c>
      <c r="K4" s="22"/>
      <c r="L4" s="22"/>
      <c r="M4" s="23"/>
    </row>
    <row r="5" spans="2:13" ht="24" customHeight="1" thickBot="1" x14ac:dyDescent="0.35">
      <c r="B5" s="14"/>
      <c r="C5" s="24" t="s">
        <v>127</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76</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126</v>
      </c>
      <c r="C19" s="37"/>
      <c r="D19" s="37"/>
      <c r="E19" s="37"/>
      <c r="F19" s="37"/>
      <c r="G19" s="37"/>
      <c r="H19" s="37"/>
      <c r="I19" s="37"/>
      <c r="J19" s="37"/>
      <c r="K19" s="10">
        <v>-1</v>
      </c>
      <c r="M19" s="3"/>
    </row>
    <row r="20" spans="2:13" ht="15.75" x14ac:dyDescent="0.25">
      <c r="B20" s="36" t="s">
        <v>128</v>
      </c>
      <c r="C20" s="37"/>
      <c r="D20" s="37"/>
      <c r="E20" s="37"/>
      <c r="F20" s="37"/>
      <c r="G20" s="37"/>
      <c r="H20" s="37"/>
      <c r="I20" s="37"/>
      <c r="J20" s="37"/>
      <c r="K20" s="10">
        <v>-2</v>
      </c>
      <c r="M20" s="3"/>
    </row>
    <row r="21" spans="2:13" ht="15.75" x14ac:dyDescent="0.25">
      <c r="B21" s="36" t="s">
        <v>129</v>
      </c>
      <c r="C21" s="37"/>
      <c r="D21" s="37"/>
      <c r="E21" s="37"/>
      <c r="F21" s="37"/>
      <c r="G21" s="37"/>
      <c r="H21" s="37"/>
      <c r="I21" s="37"/>
      <c r="J21" s="37"/>
      <c r="K21" s="10">
        <v>-3</v>
      </c>
      <c r="M21" s="3"/>
    </row>
    <row r="22" spans="2:13" ht="14.25" customHeight="1" x14ac:dyDescent="0.2">
      <c r="B22" s="39" t="s">
        <v>130</v>
      </c>
      <c r="C22" s="40"/>
      <c r="D22" s="40"/>
      <c r="E22" s="40"/>
      <c r="F22" s="40"/>
      <c r="G22" s="40"/>
      <c r="H22" s="40"/>
      <c r="I22" s="40"/>
      <c r="J22" s="40"/>
      <c r="K22" s="11">
        <v>-4</v>
      </c>
      <c r="M22" s="3"/>
    </row>
    <row r="23" spans="2:13" ht="15.75" customHeight="1" x14ac:dyDescent="0.25">
      <c r="B23" s="39" t="s">
        <v>131</v>
      </c>
      <c r="C23" s="40"/>
      <c r="D23" s="40"/>
      <c r="E23" s="40"/>
      <c r="F23" s="40"/>
      <c r="G23" s="40"/>
      <c r="H23" s="40"/>
      <c r="I23" s="40"/>
      <c r="J23" s="40"/>
      <c r="K23" s="10">
        <v>-5</v>
      </c>
      <c r="M23" s="3"/>
    </row>
    <row r="24" spans="2:13" ht="15.75" x14ac:dyDescent="0.25">
      <c r="B24" s="36" t="s">
        <v>132</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319</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M60"/>
  <sheetViews>
    <sheetView workbookViewId="0">
      <selection activeCell="F36" sqref="F36"/>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349</v>
      </c>
      <c r="D4" s="19"/>
      <c r="E4" s="19"/>
      <c r="F4" s="19"/>
      <c r="G4" s="19"/>
      <c r="H4" s="19"/>
      <c r="I4" s="20"/>
      <c r="J4" s="21" t="s">
        <v>0</v>
      </c>
      <c r="K4" s="22"/>
      <c r="L4" s="22"/>
      <c r="M4" s="23"/>
    </row>
    <row r="5" spans="2:13" ht="24" customHeight="1" thickBot="1" x14ac:dyDescent="0.35">
      <c r="B5" s="14"/>
      <c r="C5" s="24" t="s">
        <v>109</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110</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111</v>
      </c>
      <c r="C19" s="37"/>
      <c r="D19" s="37"/>
      <c r="E19" s="37"/>
      <c r="F19" s="37"/>
      <c r="G19" s="37"/>
      <c r="H19" s="37"/>
      <c r="I19" s="37"/>
      <c r="J19" s="37"/>
      <c r="K19" s="10">
        <v>-1</v>
      </c>
      <c r="M19" s="3"/>
    </row>
    <row r="20" spans="2:13" ht="15.75" x14ac:dyDescent="0.25">
      <c r="B20" s="36" t="s">
        <v>112</v>
      </c>
      <c r="C20" s="37"/>
      <c r="D20" s="37"/>
      <c r="E20" s="37"/>
      <c r="F20" s="37"/>
      <c r="G20" s="37"/>
      <c r="H20" s="37"/>
      <c r="I20" s="37"/>
      <c r="J20" s="37"/>
      <c r="K20" s="10">
        <v>-2</v>
      </c>
      <c r="M20" s="3"/>
    </row>
    <row r="21" spans="2:13" ht="15.75" x14ac:dyDescent="0.25">
      <c r="B21" s="36" t="s">
        <v>113</v>
      </c>
      <c r="C21" s="37"/>
      <c r="D21" s="37"/>
      <c r="E21" s="37"/>
      <c r="F21" s="37"/>
      <c r="G21" s="37"/>
      <c r="H21" s="37"/>
      <c r="I21" s="37"/>
      <c r="J21" s="37"/>
      <c r="K21" s="10">
        <v>-3</v>
      </c>
      <c r="M21" s="3"/>
    </row>
    <row r="22" spans="2:13" ht="14.25" customHeight="1" x14ac:dyDescent="0.2">
      <c r="B22" s="39" t="s">
        <v>114</v>
      </c>
      <c r="C22" s="40"/>
      <c r="D22" s="40"/>
      <c r="E22" s="40"/>
      <c r="F22" s="40"/>
      <c r="G22" s="40"/>
      <c r="H22" s="40"/>
      <c r="I22" s="40"/>
      <c r="J22" s="40"/>
      <c r="K22" s="11">
        <v>-4</v>
      </c>
      <c r="M22" s="3"/>
    </row>
    <row r="23" spans="2:13" ht="15.75" customHeight="1" x14ac:dyDescent="0.25">
      <c r="B23" s="39" t="s">
        <v>115</v>
      </c>
      <c r="C23" s="40"/>
      <c r="D23" s="40"/>
      <c r="E23" s="40"/>
      <c r="F23" s="40"/>
      <c r="G23" s="40"/>
      <c r="H23" s="40"/>
      <c r="I23" s="40"/>
      <c r="J23" s="40"/>
      <c r="K23" s="10">
        <v>-5</v>
      </c>
      <c r="M23" s="3"/>
    </row>
    <row r="24" spans="2:13" ht="15.75" x14ac:dyDescent="0.25">
      <c r="B24" s="36"/>
      <c r="C24" s="37"/>
      <c r="D24" s="37"/>
      <c r="E24" s="37"/>
      <c r="F24" s="37"/>
      <c r="G24" s="37"/>
      <c r="H24" s="37"/>
      <c r="I24" s="37"/>
      <c r="J24" s="37"/>
      <c r="K24" s="10"/>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317</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M60"/>
  <sheetViews>
    <sheetView workbookViewId="0">
      <selection activeCell="B23" sqref="B23:J23"/>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350</v>
      </c>
      <c r="D4" s="19"/>
      <c r="E4" s="19"/>
      <c r="F4" s="19"/>
      <c r="G4" s="19"/>
      <c r="H4" s="19"/>
      <c r="I4" s="20"/>
      <c r="J4" s="21" t="s">
        <v>0</v>
      </c>
      <c r="K4" s="22"/>
      <c r="L4" s="22"/>
      <c r="M4" s="23"/>
    </row>
    <row r="5" spans="2:13" ht="24" customHeight="1" thickBot="1" x14ac:dyDescent="0.35">
      <c r="B5" s="14"/>
      <c r="C5" s="24" t="s">
        <v>117</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8</v>
      </c>
      <c r="C9" s="37"/>
      <c r="D9" s="37"/>
      <c r="E9" s="37"/>
      <c r="F9" s="37"/>
      <c r="G9" s="37"/>
      <c r="H9" s="37"/>
      <c r="I9" s="37"/>
      <c r="J9" s="37"/>
      <c r="K9" s="9">
        <v>-2</v>
      </c>
      <c r="L9" s="35"/>
      <c r="M9" s="3"/>
    </row>
    <row r="10" spans="2:13" ht="15.75" x14ac:dyDescent="0.2">
      <c r="B10" s="36" t="s">
        <v>118</v>
      </c>
      <c r="C10" s="37"/>
      <c r="D10" s="37"/>
      <c r="E10" s="37"/>
      <c r="F10" s="37"/>
      <c r="G10" s="37"/>
      <c r="H10" s="37"/>
      <c r="I10" s="37"/>
      <c r="J10" s="37"/>
      <c r="K10" s="9">
        <v>-3</v>
      </c>
      <c r="L10" s="35"/>
      <c r="M10" s="3"/>
    </row>
    <row r="11" spans="2:13" ht="15.75" x14ac:dyDescent="0.2">
      <c r="B11" s="36" t="s">
        <v>119</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120</v>
      </c>
      <c r="C19" s="37"/>
      <c r="D19" s="37"/>
      <c r="E19" s="37"/>
      <c r="F19" s="37"/>
      <c r="G19" s="37"/>
      <c r="H19" s="37"/>
      <c r="I19" s="37"/>
      <c r="J19" s="37"/>
      <c r="K19" s="10">
        <v>-1</v>
      </c>
      <c r="M19" s="3"/>
    </row>
    <row r="20" spans="2:13" ht="15.75" x14ac:dyDescent="0.25">
      <c r="B20" s="36" t="s">
        <v>121</v>
      </c>
      <c r="C20" s="37"/>
      <c r="D20" s="37"/>
      <c r="E20" s="37"/>
      <c r="F20" s="37"/>
      <c r="G20" s="37"/>
      <c r="H20" s="37"/>
      <c r="I20" s="37"/>
      <c r="J20" s="37"/>
      <c r="K20" s="10">
        <v>-2</v>
      </c>
      <c r="M20" s="3"/>
    </row>
    <row r="21" spans="2:13" ht="15.75" x14ac:dyDescent="0.25">
      <c r="B21" s="36" t="s">
        <v>122</v>
      </c>
      <c r="C21" s="37"/>
      <c r="D21" s="37"/>
      <c r="E21" s="37"/>
      <c r="F21" s="37"/>
      <c r="G21" s="37"/>
      <c r="H21" s="37"/>
      <c r="I21" s="37"/>
      <c r="J21" s="37"/>
      <c r="K21" s="10">
        <v>-3</v>
      </c>
      <c r="M21" s="3"/>
    </row>
    <row r="22" spans="2:13" ht="14.25" customHeight="1" x14ac:dyDescent="0.2">
      <c r="B22" s="39" t="s">
        <v>123</v>
      </c>
      <c r="C22" s="40"/>
      <c r="D22" s="40"/>
      <c r="E22" s="40"/>
      <c r="F22" s="40"/>
      <c r="G22" s="40"/>
      <c r="H22" s="40"/>
      <c r="I22" s="40"/>
      <c r="J22" s="40"/>
      <c r="K22" s="11">
        <v>-4</v>
      </c>
      <c r="M22" s="3"/>
    </row>
    <row r="23" spans="2:13" ht="15.75" customHeight="1" x14ac:dyDescent="0.25">
      <c r="B23" s="39" t="s">
        <v>124</v>
      </c>
      <c r="C23" s="40"/>
      <c r="D23" s="40"/>
      <c r="E23" s="40"/>
      <c r="F23" s="40"/>
      <c r="G23" s="40"/>
      <c r="H23" s="40"/>
      <c r="I23" s="40"/>
      <c r="J23" s="40"/>
      <c r="K23" s="10">
        <v>-5</v>
      </c>
      <c r="M23" s="3"/>
    </row>
    <row r="24" spans="2:13" ht="15.75" x14ac:dyDescent="0.25">
      <c r="B24" s="36" t="s">
        <v>125</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318</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M60"/>
  <sheetViews>
    <sheetView workbookViewId="0">
      <selection activeCell="E31" sqref="E3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351</v>
      </c>
      <c r="D4" s="19"/>
      <c r="E4" s="19"/>
      <c r="F4" s="19"/>
      <c r="G4" s="19"/>
      <c r="H4" s="19"/>
      <c r="I4" s="20"/>
      <c r="J4" s="21" t="s">
        <v>0</v>
      </c>
      <c r="K4" s="22"/>
      <c r="L4" s="22"/>
      <c r="M4" s="23"/>
    </row>
    <row r="5" spans="2:13" ht="24" customHeight="1" thickBot="1" x14ac:dyDescent="0.35">
      <c r="B5" s="14"/>
      <c r="C5" s="24" t="s">
        <v>74</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75</v>
      </c>
      <c r="C9" s="37"/>
      <c r="D9" s="37"/>
      <c r="E9" s="37"/>
      <c r="F9" s="37"/>
      <c r="G9" s="37"/>
      <c r="H9" s="37"/>
      <c r="I9" s="37"/>
      <c r="J9" s="37"/>
      <c r="K9" s="9">
        <v>-2</v>
      </c>
      <c r="L9" s="35"/>
      <c r="M9" s="3"/>
    </row>
    <row r="10" spans="2:13" ht="15.75" x14ac:dyDescent="0.2">
      <c r="B10" s="36" t="s">
        <v>76</v>
      </c>
      <c r="C10" s="37"/>
      <c r="D10" s="37"/>
      <c r="E10" s="37"/>
      <c r="F10" s="37"/>
      <c r="G10" s="37"/>
      <c r="H10" s="37"/>
      <c r="I10" s="37"/>
      <c r="J10" s="37"/>
      <c r="K10" s="9">
        <v>-3</v>
      </c>
      <c r="L10" s="35"/>
      <c r="M10" s="3"/>
    </row>
    <row r="11" spans="2:13" ht="15.75" x14ac:dyDescent="0.2">
      <c r="B11" s="36" t="s">
        <v>8</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77</v>
      </c>
      <c r="C20" s="37"/>
      <c r="D20" s="37"/>
      <c r="E20" s="37"/>
      <c r="F20" s="37"/>
      <c r="G20" s="37"/>
      <c r="H20" s="37"/>
      <c r="I20" s="37"/>
      <c r="J20" s="37"/>
      <c r="K20" s="10">
        <v>-2</v>
      </c>
      <c r="M20" s="3"/>
    </row>
    <row r="21" spans="2:13" ht="15.75" x14ac:dyDescent="0.25">
      <c r="B21" s="36" t="s">
        <v>78</v>
      </c>
      <c r="C21" s="37"/>
      <c r="D21" s="37"/>
      <c r="E21" s="37"/>
      <c r="F21" s="37"/>
      <c r="G21" s="37"/>
      <c r="H21" s="37"/>
      <c r="I21" s="37"/>
      <c r="J21" s="37"/>
      <c r="K21" s="10">
        <v>-3</v>
      </c>
      <c r="M21" s="3"/>
    </row>
    <row r="22" spans="2:13" ht="50.25" customHeight="1" x14ac:dyDescent="0.2">
      <c r="B22" s="39" t="s">
        <v>79</v>
      </c>
      <c r="C22" s="40"/>
      <c r="D22" s="40"/>
      <c r="E22" s="40"/>
      <c r="F22" s="40"/>
      <c r="G22" s="40"/>
      <c r="H22" s="40"/>
      <c r="I22" s="40"/>
      <c r="J22" s="40"/>
      <c r="K22" s="11">
        <v>-4</v>
      </c>
      <c r="M22" s="3"/>
    </row>
    <row r="23" spans="2:13" ht="15.75" x14ac:dyDescent="0.25">
      <c r="B23" s="36" t="s">
        <v>80</v>
      </c>
      <c r="C23" s="37"/>
      <c r="D23" s="37"/>
      <c r="E23" s="37"/>
      <c r="F23" s="37"/>
      <c r="G23" s="37"/>
      <c r="H23" s="37"/>
      <c r="I23" s="37"/>
      <c r="J23" s="37"/>
      <c r="K23" s="10">
        <v>-5</v>
      </c>
      <c r="M23" s="3"/>
    </row>
    <row r="24" spans="2:13" ht="15.75" x14ac:dyDescent="0.25">
      <c r="B24" s="36" t="s">
        <v>81</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312</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M60"/>
  <sheetViews>
    <sheetView workbookViewId="0">
      <selection activeCell="B23" sqref="B23:J23"/>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353</v>
      </c>
      <c r="D4" s="19"/>
      <c r="E4" s="19"/>
      <c r="F4" s="19"/>
      <c r="G4" s="19"/>
      <c r="H4" s="19"/>
      <c r="I4" s="20"/>
      <c r="J4" s="21" t="s">
        <v>0</v>
      </c>
      <c r="K4" s="22"/>
      <c r="L4" s="22"/>
      <c r="M4" s="23"/>
    </row>
    <row r="5" spans="2:13" ht="24" customHeight="1" thickBot="1" x14ac:dyDescent="0.35">
      <c r="B5" s="14"/>
      <c r="C5" s="24" t="s">
        <v>100</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76</v>
      </c>
      <c r="C9" s="37"/>
      <c r="D9" s="37"/>
      <c r="E9" s="37"/>
      <c r="F9" s="37"/>
      <c r="G9" s="37"/>
      <c r="H9" s="37"/>
      <c r="I9" s="37"/>
      <c r="J9" s="37"/>
      <c r="K9" s="9">
        <v>-2</v>
      </c>
      <c r="L9" s="35"/>
      <c r="M9" s="3"/>
    </row>
    <row r="10" spans="2:13" ht="15.75" x14ac:dyDescent="0.2">
      <c r="B10" s="36" t="s">
        <v>101</v>
      </c>
      <c r="C10" s="37"/>
      <c r="D10" s="37"/>
      <c r="E10" s="37"/>
      <c r="F10" s="37"/>
      <c r="G10" s="37"/>
      <c r="H10" s="37"/>
      <c r="I10" s="37"/>
      <c r="J10" s="37"/>
      <c r="K10" s="9">
        <v>-3</v>
      </c>
      <c r="L10" s="35"/>
      <c r="M10" s="3"/>
    </row>
    <row r="11" spans="2:13" ht="15.75" x14ac:dyDescent="0.2">
      <c r="B11" s="36" t="s">
        <v>102</v>
      </c>
      <c r="C11" s="37"/>
      <c r="D11" s="37"/>
      <c r="E11" s="37"/>
      <c r="F11" s="37"/>
      <c r="G11" s="37"/>
      <c r="H11" s="37"/>
      <c r="I11" s="37"/>
      <c r="J11" s="37"/>
      <c r="K11" s="9">
        <v>-4</v>
      </c>
      <c r="L11" s="35"/>
      <c r="M11" s="3"/>
    </row>
    <row r="12" spans="2:13" ht="15.75" x14ac:dyDescent="0.2">
      <c r="B12" s="36" t="s">
        <v>8</v>
      </c>
      <c r="C12" s="37"/>
      <c r="D12" s="37"/>
      <c r="E12" s="37"/>
      <c r="F12" s="37"/>
      <c r="G12" s="37"/>
      <c r="H12" s="37"/>
      <c r="I12" s="37"/>
      <c r="J12" s="37"/>
      <c r="K12" s="9">
        <v>-5</v>
      </c>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103</v>
      </c>
      <c r="C19" s="37"/>
      <c r="D19" s="37"/>
      <c r="E19" s="37"/>
      <c r="F19" s="37"/>
      <c r="G19" s="37"/>
      <c r="H19" s="37"/>
      <c r="I19" s="37"/>
      <c r="J19" s="37"/>
      <c r="K19" s="10">
        <v>-1</v>
      </c>
      <c r="M19" s="3"/>
    </row>
    <row r="20" spans="2:13" ht="15.75" x14ac:dyDescent="0.25">
      <c r="B20" s="36" t="s">
        <v>104</v>
      </c>
      <c r="C20" s="37"/>
      <c r="D20" s="37"/>
      <c r="E20" s="37"/>
      <c r="F20" s="37"/>
      <c r="G20" s="37"/>
      <c r="H20" s="37"/>
      <c r="I20" s="37"/>
      <c r="J20" s="37"/>
      <c r="K20" s="10">
        <v>-2</v>
      </c>
      <c r="M20" s="3"/>
    </row>
    <row r="21" spans="2:13" ht="15.75" x14ac:dyDescent="0.25">
      <c r="B21" s="36" t="s">
        <v>105</v>
      </c>
      <c r="C21" s="37"/>
      <c r="D21" s="37"/>
      <c r="E21" s="37"/>
      <c r="F21" s="37"/>
      <c r="G21" s="37"/>
      <c r="H21" s="37"/>
      <c r="I21" s="37"/>
      <c r="J21" s="37"/>
      <c r="K21" s="10">
        <v>-3</v>
      </c>
      <c r="M21" s="3"/>
    </row>
    <row r="22" spans="2:13" ht="14.25" customHeight="1" x14ac:dyDescent="0.2">
      <c r="B22" s="39" t="s">
        <v>106</v>
      </c>
      <c r="C22" s="40"/>
      <c r="D22" s="40"/>
      <c r="E22" s="40"/>
      <c r="F22" s="40"/>
      <c r="G22" s="40"/>
      <c r="H22" s="40"/>
      <c r="I22" s="40"/>
      <c r="J22" s="40"/>
      <c r="K22" s="11">
        <v>-4</v>
      </c>
      <c r="M22" s="3"/>
    </row>
    <row r="23" spans="2:13" ht="15.75" customHeight="1" x14ac:dyDescent="0.25">
      <c r="B23" s="39" t="s">
        <v>107</v>
      </c>
      <c r="C23" s="40"/>
      <c r="D23" s="40"/>
      <c r="E23" s="40"/>
      <c r="F23" s="40"/>
      <c r="G23" s="40"/>
      <c r="H23" s="40"/>
      <c r="I23" s="40"/>
      <c r="J23" s="40"/>
      <c r="K23" s="10">
        <v>-5</v>
      </c>
      <c r="M23" s="3"/>
    </row>
    <row r="24" spans="2:13" ht="15.75" x14ac:dyDescent="0.25">
      <c r="B24" s="36" t="s">
        <v>108</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316</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M60"/>
  <sheetViews>
    <sheetView workbookViewId="0">
      <selection activeCell="C4" sqref="C4:I4"/>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352</v>
      </c>
      <c r="D4" s="19"/>
      <c r="E4" s="19"/>
      <c r="F4" s="19"/>
      <c r="G4" s="19"/>
      <c r="H4" s="19"/>
      <c r="I4" s="20"/>
      <c r="J4" s="21" t="s">
        <v>0</v>
      </c>
      <c r="K4" s="22"/>
      <c r="L4" s="22"/>
      <c r="M4" s="23"/>
    </row>
    <row r="5" spans="2:13" ht="24" customHeight="1" thickBot="1" x14ac:dyDescent="0.35">
      <c r="B5" s="14"/>
      <c r="C5" s="24" t="s">
        <v>95</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84</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t="s">
        <v>76</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85</v>
      </c>
      <c r="C20" s="37"/>
      <c r="D20" s="37"/>
      <c r="E20" s="37"/>
      <c r="F20" s="37"/>
      <c r="G20" s="37"/>
      <c r="H20" s="37"/>
      <c r="I20" s="37"/>
      <c r="J20" s="37"/>
      <c r="K20" s="10">
        <v>-2</v>
      </c>
      <c r="M20" s="3"/>
    </row>
    <row r="21" spans="2:13" ht="15.75" x14ac:dyDescent="0.25">
      <c r="B21" s="36" t="s">
        <v>96</v>
      </c>
      <c r="C21" s="37"/>
      <c r="D21" s="37"/>
      <c r="E21" s="37"/>
      <c r="F21" s="37"/>
      <c r="G21" s="37"/>
      <c r="H21" s="37"/>
      <c r="I21" s="37"/>
      <c r="J21" s="37"/>
      <c r="K21" s="10">
        <v>-3</v>
      </c>
      <c r="M21" s="3"/>
    </row>
    <row r="22" spans="2:13" ht="14.25" customHeight="1" x14ac:dyDescent="0.2">
      <c r="B22" s="39" t="s">
        <v>97</v>
      </c>
      <c r="C22" s="40"/>
      <c r="D22" s="40"/>
      <c r="E22" s="40"/>
      <c r="F22" s="40"/>
      <c r="G22" s="40"/>
      <c r="H22" s="40"/>
      <c r="I22" s="40"/>
      <c r="J22" s="40"/>
      <c r="K22" s="11">
        <v>-4</v>
      </c>
      <c r="M22" s="3"/>
    </row>
    <row r="23" spans="2:13" ht="32.25" customHeight="1" x14ac:dyDescent="0.25">
      <c r="B23" s="39" t="s">
        <v>98</v>
      </c>
      <c r="C23" s="40"/>
      <c r="D23" s="40"/>
      <c r="E23" s="40"/>
      <c r="F23" s="40"/>
      <c r="G23" s="40"/>
      <c r="H23" s="40"/>
      <c r="I23" s="40"/>
      <c r="J23" s="40"/>
      <c r="K23" s="10">
        <v>-5</v>
      </c>
      <c r="M23" s="3"/>
    </row>
    <row r="24" spans="2:13" ht="15.75" x14ac:dyDescent="0.25">
      <c r="B24" s="36" t="s">
        <v>99</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315</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M60"/>
  <sheetViews>
    <sheetView workbookViewId="0">
      <selection activeCell="D41" sqref="D41"/>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348</v>
      </c>
      <c r="D4" s="19"/>
      <c r="E4" s="19"/>
      <c r="F4" s="19"/>
      <c r="G4" s="19"/>
      <c r="H4" s="19"/>
      <c r="I4" s="20"/>
      <c r="J4" s="21" t="s">
        <v>0</v>
      </c>
      <c r="K4" s="22"/>
      <c r="L4" s="22"/>
      <c r="M4" s="23"/>
    </row>
    <row r="5" spans="2:13" ht="24" customHeight="1" thickBot="1" x14ac:dyDescent="0.35">
      <c r="B5" s="14"/>
      <c r="C5" s="24" t="s">
        <v>90</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83</v>
      </c>
      <c r="C8" s="34"/>
      <c r="D8" s="34"/>
      <c r="E8" s="34"/>
      <c r="F8" s="34"/>
      <c r="G8" s="34"/>
      <c r="H8" s="34"/>
      <c r="I8" s="34"/>
      <c r="J8" s="34"/>
      <c r="K8" s="9">
        <v>-1</v>
      </c>
      <c r="L8" s="35"/>
      <c r="M8" s="3"/>
    </row>
    <row r="9" spans="2:13" ht="15.75" x14ac:dyDescent="0.2">
      <c r="B9" s="36" t="s">
        <v>84</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85</v>
      </c>
      <c r="C20" s="37"/>
      <c r="D20" s="37"/>
      <c r="E20" s="37"/>
      <c r="F20" s="37"/>
      <c r="G20" s="37"/>
      <c r="H20" s="37"/>
      <c r="I20" s="37"/>
      <c r="J20" s="37"/>
      <c r="K20" s="10">
        <v>-2</v>
      </c>
      <c r="M20" s="3"/>
    </row>
    <row r="21" spans="2:13" ht="15.75" x14ac:dyDescent="0.25">
      <c r="B21" s="36" t="s">
        <v>91</v>
      </c>
      <c r="C21" s="37"/>
      <c r="D21" s="37"/>
      <c r="E21" s="37"/>
      <c r="F21" s="37"/>
      <c r="G21" s="37"/>
      <c r="H21" s="37"/>
      <c r="I21" s="37"/>
      <c r="J21" s="37"/>
      <c r="K21" s="10">
        <v>-3</v>
      </c>
      <c r="M21" s="3"/>
    </row>
    <row r="22" spans="2:13" ht="14.25" customHeight="1" x14ac:dyDescent="0.2">
      <c r="B22" s="39" t="s">
        <v>92</v>
      </c>
      <c r="C22" s="40"/>
      <c r="D22" s="40"/>
      <c r="E22" s="40"/>
      <c r="F22" s="40"/>
      <c r="G22" s="40"/>
      <c r="H22" s="40"/>
      <c r="I22" s="40"/>
      <c r="J22" s="40"/>
      <c r="K22" s="11">
        <v>-4</v>
      </c>
      <c r="M22" s="3"/>
    </row>
    <row r="23" spans="2:13" ht="15.75" x14ac:dyDescent="0.25">
      <c r="B23" s="36" t="s">
        <v>93</v>
      </c>
      <c r="C23" s="37"/>
      <c r="D23" s="37"/>
      <c r="E23" s="37"/>
      <c r="F23" s="37"/>
      <c r="G23" s="37"/>
      <c r="H23" s="37"/>
      <c r="I23" s="37"/>
      <c r="J23" s="37"/>
      <c r="K23" s="10">
        <v>-5</v>
      </c>
      <c r="M23" s="3"/>
    </row>
    <row r="24" spans="2:13" ht="15.75" x14ac:dyDescent="0.25">
      <c r="B24" s="36" t="s">
        <v>94</v>
      </c>
      <c r="C24" s="37"/>
      <c r="D24" s="37"/>
      <c r="E24" s="37"/>
      <c r="F24" s="37"/>
      <c r="G24" s="37"/>
      <c r="H24" s="37"/>
      <c r="I24" s="37"/>
      <c r="J24" s="37"/>
      <c r="K24" s="10">
        <v>-6</v>
      </c>
      <c r="M24" s="3"/>
    </row>
    <row r="25" spans="2:13" ht="15.75" x14ac:dyDescent="0.25">
      <c r="B25" s="36"/>
      <c r="C25" s="37"/>
      <c r="D25" s="37"/>
      <c r="E25" s="37"/>
      <c r="F25" s="37"/>
      <c r="G25" s="37"/>
      <c r="H25" s="37"/>
      <c r="I25" s="37"/>
      <c r="J25" s="37"/>
      <c r="K25" s="10"/>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314</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M60"/>
  <sheetViews>
    <sheetView workbookViewId="0">
      <selection activeCell="R12" sqref="R12"/>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347</v>
      </c>
      <c r="D4" s="19"/>
      <c r="E4" s="19"/>
      <c r="F4" s="19"/>
      <c r="G4" s="19"/>
      <c r="H4" s="19"/>
      <c r="I4" s="20"/>
      <c r="J4" s="21" t="s">
        <v>0</v>
      </c>
      <c r="K4" s="22"/>
      <c r="L4" s="22"/>
      <c r="M4" s="23"/>
    </row>
    <row r="5" spans="2:13" ht="24" customHeight="1" thickBot="1" x14ac:dyDescent="0.35">
      <c r="B5" s="14"/>
      <c r="C5" s="24" t="s">
        <v>57</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43</v>
      </c>
      <c r="C8" s="34"/>
      <c r="D8" s="34"/>
      <c r="E8" s="34"/>
      <c r="F8" s="34"/>
      <c r="G8" s="34"/>
      <c r="H8" s="34"/>
      <c r="I8" s="34"/>
      <c r="J8" s="34"/>
      <c r="K8" s="9">
        <v>-1</v>
      </c>
      <c r="L8" s="35"/>
      <c r="M8" s="3"/>
    </row>
    <row r="9" spans="2:13" ht="15.75" x14ac:dyDescent="0.2">
      <c r="B9" s="36" t="s">
        <v>58</v>
      </c>
      <c r="C9" s="37"/>
      <c r="D9" s="37"/>
      <c r="E9" s="37"/>
      <c r="F9" s="37"/>
      <c r="G9" s="37"/>
      <c r="H9" s="37"/>
      <c r="I9" s="37"/>
      <c r="J9" s="37"/>
      <c r="K9" s="9">
        <v>-2</v>
      </c>
      <c r="L9" s="35"/>
      <c r="M9" s="3"/>
    </row>
    <row r="10" spans="2:13" ht="15.75" x14ac:dyDescent="0.2">
      <c r="B10" s="36" t="s">
        <v>8</v>
      </c>
      <c r="C10" s="37"/>
      <c r="D10" s="37"/>
      <c r="E10" s="37"/>
      <c r="F10" s="37"/>
      <c r="G10" s="37"/>
      <c r="H10" s="37"/>
      <c r="I10" s="37"/>
      <c r="J10" s="37"/>
      <c r="K10" s="9">
        <v>-3</v>
      </c>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60</v>
      </c>
      <c r="C20" s="37"/>
      <c r="D20" s="37"/>
      <c r="E20" s="37"/>
      <c r="F20" s="37"/>
      <c r="G20" s="37"/>
      <c r="H20" s="37"/>
      <c r="I20" s="37"/>
      <c r="J20" s="37"/>
      <c r="K20" s="10">
        <v>-2</v>
      </c>
      <c r="M20" s="3"/>
    </row>
    <row r="21" spans="2:13" ht="15.75" x14ac:dyDescent="0.25">
      <c r="B21" s="36" t="s">
        <v>61</v>
      </c>
      <c r="C21" s="37"/>
      <c r="D21" s="37"/>
      <c r="E21" s="37"/>
      <c r="F21" s="37"/>
      <c r="G21" s="37"/>
      <c r="H21" s="37"/>
      <c r="I21" s="37"/>
      <c r="J21" s="37"/>
      <c r="K21" s="10">
        <v>-3</v>
      </c>
      <c r="M21" s="3"/>
    </row>
    <row r="22" spans="2:13" ht="15.75" x14ac:dyDescent="0.25">
      <c r="B22" s="36" t="s">
        <v>62</v>
      </c>
      <c r="C22" s="37"/>
      <c r="D22" s="37"/>
      <c r="E22" s="37"/>
      <c r="F22" s="37"/>
      <c r="G22" s="37"/>
      <c r="H22" s="37"/>
      <c r="I22" s="37"/>
      <c r="J22" s="37"/>
      <c r="K22" s="10">
        <v>-4</v>
      </c>
      <c r="M22" s="3"/>
    </row>
    <row r="23" spans="2:13" ht="15.75" x14ac:dyDescent="0.25">
      <c r="B23" s="36" t="s">
        <v>63</v>
      </c>
      <c r="C23" s="37"/>
      <c r="D23" s="37"/>
      <c r="E23" s="37"/>
      <c r="F23" s="37"/>
      <c r="G23" s="37"/>
      <c r="H23" s="37"/>
      <c r="I23" s="37"/>
      <c r="J23" s="37"/>
      <c r="K23" s="10">
        <v>-5</v>
      </c>
      <c r="M23" s="3"/>
    </row>
    <row r="24" spans="2:13" ht="15.75" x14ac:dyDescent="0.25">
      <c r="B24" s="36" t="s">
        <v>64</v>
      </c>
      <c r="C24" s="37"/>
      <c r="D24" s="37"/>
      <c r="E24" s="37"/>
      <c r="F24" s="37"/>
      <c r="G24" s="37"/>
      <c r="H24" s="37"/>
      <c r="I24" s="37"/>
      <c r="J24" s="37"/>
      <c r="K24" s="10">
        <v>-6</v>
      </c>
      <c r="M24" s="3"/>
    </row>
    <row r="25" spans="2:13" ht="15.75" x14ac:dyDescent="0.25">
      <c r="B25" s="36" t="s">
        <v>65</v>
      </c>
      <c r="C25" s="37"/>
      <c r="D25" s="37"/>
      <c r="E25" s="37"/>
      <c r="F25" s="37"/>
      <c r="G25" s="37"/>
      <c r="H25" s="37"/>
      <c r="I25" s="37"/>
      <c r="J25" s="37"/>
      <c r="K25" s="10">
        <v>-7</v>
      </c>
      <c r="M25" s="3"/>
    </row>
    <row r="26" spans="2:13" ht="15.75" x14ac:dyDescent="0.25">
      <c r="B26" s="36" t="s">
        <v>66</v>
      </c>
      <c r="C26" s="37"/>
      <c r="D26" s="37"/>
      <c r="E26" s="37"/>
      <c r="F26" s="37"/>
      <c r="G26" s="37"/>
      <c r="H26" s="37"/>
      <c r="I26" s="37"/>
      <c r="J26" s="37"/>
      <c r="K26" s="10">
        <v>-8</v>
      </c>
      <c r="M26" s="3"/>
    </row>
    <row r="27" spans="2:13" ht="15.75" x14ac:dyDescent="0.25">
      <c r="B27" s="36" t="s">
        <v>67</v>
      </c>
      <c r="C27" s="37"/>
      <c r="D27" s="37"/>
      <c r="E27" s="37"/>
      <c r="F27" s="37"/>
      <c r="G27" s="37"/>
      <c r="H27" s="37"/>
      <c r="I27" s="37"/>
      <c r="J27" s="37"/>
      <c r="K27" s="10">
        <v>-9</v>
      </c>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310</v>
      </c>
      <c r="I59" s="55"/>
      <c r="J59" s="55"/>
      <c r="K59" s="55"/>
      <c r="L59" s="55"/>
      <c r="M59" s="56"/>
    </row>
    <row r="60" spans="2:13" ht="12" thickTop="1" x14ac:dyDescent="0.2"/>
  </sheetData>
  <mergeCells count="33">
    <mergeCell ref="B3:B5"/>
    <mergeCell ref="C3:M3"/>
    <mergeCell ref="C4:I4"/>
    <mergeCell ref="J4:M4"/>
    <mergeCell ref="C5:I5"/>
    <mergeCell ref="J5:M5"/>
    <mergeCell ref="B6:M6"/>
    <mergeCell ref="B7:L7"/>
    <mergeCell ref="B8:J8"/>
    <mergeCell ref="L8:L11"/>
    <mergeCell ref="B9:J9"/>
    <mergeCell ref="B10:J10"/>
    <mergeCell ref="B11:J11"/>
    <mergeCell ref="B28:J28"/>
    <mergeCell ref="B12:J12"/>
    <mergeCell ref="H18:L18"/>
    <mergeCell ref="B19:J19"/>
    <mergeCell ref="B20:J20"/>
    <mergeCell ref="B21:J21"/>
    <mergeCell ref="B22:J22"/>
    <mergeCell ref="B23:J23"/>
    <mergeCell ref="B24:J24"/>
    <mergeCell ref="B25:J25"/>
    <mergeCell ref="B26:J26"/>
    <mergeCell ref="B27:J27"/>
    <mergeCell ref="B29:J29"/>
    <mergeCell ref="B30:J30"/>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M60"/>
  <sheetViews>
    <sheetView workbookViewId="0">
      <selection activeCell="O38" sqref="O38"/>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3.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ht="24.75" customHeight="1" thickTop="1" thickBot="1" x14ac:dyDescent="0.4">
      <c r="B4" s="13"/>
      <c r="C4" s="66" t="s">
        <v>342</v>
      </c>
      <c r="D4" s="67"/>
      <c r="E4" s="67"/>
      <c r="F4" s="67"/>
      <c r="G4" s="67"/>
      <c r="H4" s="67"/>
      <c r="I4" s="68"/>
      <c r="J4" s="61" t="s">
        <v>0</v>
      </c>
      <c r="K4" s="62"/>
      <c r="L4" s="62"/>
      <c r="M4" s="63"/>
    </row>
    <row r="5" spans="2:13" ht="25.5" customHeight="1" thickBot="1" x14ac:dyDescent="0.4">
      <c r="B5" s="14"/>
      <c r="C5" s="64" t="s">
        <v>21</v>
      </c>
      <c r="D5" s="65"/>
      <c r="E5" s="65"/>
      <c r="F5" s="65"/>
      <c r="G5" s="65"/>
      <c r="H5" s="65"/>
      <c r="I5" s="65"/>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57" t="s">
        <v>22</v>
      </c>
      <c r="C8" s="58"/>
      <c r="D8" s="58"/>
      <c r="E8" s="58"/>
      <c r="F8" s="58"/>
      <c r="G8" s="58"/>
      <c r="H8" s="58"/>
      <c r="I8" s="58"/>
      <c r="J8" s="58"/>
      <c r="K8" s="2">
        <v>-1</v>
      </c>
      <c r="L8" s="35"/>
      <c r="M8" s="3"/>
    </row>
    <row r="9" spans="2:13" ht="15.75" x14ac:dyDescent="0.25">
      <c r="B9" s="36" t="s">
        <v>23</v>
      </c>
      <c r="C9" s="37"/>
      <c r="D9" s="37"/>
      <c r="E9" s="37"/>
      <c r="F9" s="37"/>
      <c r="G9" s="37"/>
      <c r="H9" s="37"/>
      <c r="I9" s="37"/>
      <c r="J9" s="37"/>
      <c r="K9" s="2">
        <v>-2</v>
      </c>
      <c r="L9" s="35"/>
      <c r="M9" s="3"/>
    </row>
    <row r="10" spans="2:13" ht="15.75" x14ac:dyDescent="0.25">
      <c r="B10" s="36" t="s">
        <v>7</v>
      </c>
      <c r="C10" s="37"/>
      <c r="D10" s="37"/>
      <c r="E10" s="37"/>
      <c r="F10" s="37"/>
      <c r="G10" s="37"/>
      <c r="H10" s="37"/>
      <c r="I10" s="37"/>
      <c r="J10" s="37"/>
      <c r="K10" s="2">
        <v>-3</v>
      </c>
      <c r="L10" s="35"/>
      <c r="M10" s="3"/>
    </row>
    <row r="11" spans="2:13" ht="15.75" x14ac:dyDescent="0.25">
      <c r="B11" s="36" t="s">
        <v>8</v>
      </c>
      <c r="C11" s="37"/>
      <c r="D11" s="37"/>
      <c r="E11" s="37"/>
      <c r="F11" s="37"/>
      <c r="G11" s="37"/>
      <c r="H11" s="37"/>
      <c r="I11" s="37"/>
      <c r="J11" s="37"/>
      <c r="K11" s="2">
        <v>-4</v>
      </c>
      <c r="L11" s="35"/>
      <c r="M11" s="3"/>
    </row>
    <row r="12" spans="2:13" ht="15.75" x14ac:dyDescent="0.25">
      <c r="B12" s="4"/>
      <c r="K12" s="2"/>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24</v>
      </c>
      <c r="C19" s="37"/>
      <c r="D19" s="37"/>
      <c r="E19" s="37"/>
      <c r="F19" s="37"/>
      <c r="G19" s="37"/>
      <c r="H19" s="37"/>
      <c r="I19" s="37"/>
      <c r="J19" s="37"/>
      <c r="K19" s="2">
        <v>-1</v>
      </c>
      <c r="M19" s="3"/>
    </row>
    <row r="20" spans="2:13" ht="15.75" x14ac:dyDescent="0.25">
      <c r="B20" s="36" t="s">
        <v>25</v>
      </c>
      <c r="C20" s="37"/>
      <c r="D20" s="37"/>
      <c r="E20" s="37"/>
      <c r="F20" s="37"/>
      <c r="G20" s="37"/>
      <c r="H20" s="37"/>
      <c r="I20" s="37"/>
      <c r="J20" s="37"/>
      <c r="K20" s="2">
        <v>-2</v>
      </c>
      <c r="M20" s="3"/>
    </row>
    <row r="21" spans="2:13" ht="15.75" x14ac:dyDescent="0.25">
      <c r="B21" s="36" t="s">
        <v>26</v>
      </c>
      <c r="C21" s="37"/>
      <c r="D21" s="37"/>
      <c r="E21" s="37"/>
      <c r="F21" s="37"/>
      <c r="G21" s="37"/>
      <c r="H21" s="37"/>
      <c r="I21" s="37"/>
      <c r="J21" s="37"/>
      <c r="K21" s="2">
        <v>-3</v>
      </c>
      <c r="M21" s="3"/>
    </row>
    <row r="22" spans="2:13" ht="15.75" x14ac:dyDescent="0.25">
      <c r="B22" s="36" t="s">
        <v>27</v>
      </c>
      <c r="C22" s="37"/>
      <c r="D22" s="37"/>
      <c r="E22" s="37"/>
      <c r="F22" s="37"/>
      <c r="G22" s="37"/>
      <c r="H22" s="37"/>
      <c r="I22" s="37"/>
      <c r="J22" s="37"/>
      <c r="K22" s="2">
        <v>-4</v>
      </c>
      <c r="M22" s="3"/>
    </row>
    <row r="23" spans="2:13" ht="15.75" x14ac:dyDescent="0.25">
      <c r="B23" s="36" t="s">
        <v>28</v>
      </c>
      <c r="C23" s="37"/>
      <c r="D23" s="37"/>
      <c r="E23" s="37"/>
      <c r="F23" s="37"/>
      <c r="G23" s="37"/>
      <c r="H23" s="37"/>
      <c r="I23" s="37"/>
      <c r="J23" s="37"/>
      <c r="K23" s="2">
        <v>-5</v>
      </c>
      <c r="M23" s="3"/>
    </row>
    <row r="24" spans="2:13" ht="15.75" x14ac:dyDescent="0.25">
      <c r="B24" s="36" t="s">
        <v>29</v>
      </c>
      <c r="C24" s="37"/>
      <c r="D24" s="37"/>
      <c r="E24" s="37"/>
      <c r="F24" s="37"/>
      <c r="G24" s="37"/>
      <c r="H24" s="37"/>
      <c r="I24" s="37"/>
      <c r="J24" s="37"/>
      <c r="K24" s="2">
        <v>-6</v>
      </c>
      <c r="M24" s="3"/>
    </row>
    <row r="25" spans="2:13" x14ac:dyDescent="0.2">
      <c r="B25" s="4"/>
      <c r="M25" s="3"/>
    </row>
    <row r="26" spans="2:13" x14ac:dyDescent="0.2">
      <c r="B26" s="4"/>
      <c r="M26" s="3"/>
    </row>
    <row r="27" spans="2:13" x14ac:dyDescent="0.2">
      <c r="B27" s="4"/>
      <c r="M27" s="3"/>
    </row>
    <row r="28" spans="2:13" x14ac:dyDescent="0.2">
      <c r="B28" s="4"/>
      <c r="M28" s="3"/>
    </row>
    <row r="29" spans="2:13" x14ac:dyDescent="0.2">
      <c r="B29" s="4"/>
      <c r="M29" s="3"/>
    </row>
    <row r="30" spans="2:13" x14ac:dyDescent="0.2">
      <c r="B30" s="4"/>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306</v>
      </c>
      <c r="I59" s="55"/>
      <c r="J59" s="55"/>
      <c r="K59" s="55"/>
      <c r="L59" s="55"/>
      <c r="M59" s="56"/>
    </row>
    <row r="60" spans="2:13" ht="12" thickTop="1" x14ac:dyDescent="0.2"/>
  </sheetData>
  <mergeCells count="26">
    <mergeCell ref="F57:G59"/>
    <mergeCell ref="D57:E59"/>
    <mergeCell ref="B57:C59"/>
    <mergeCell ref="H57:M57"/>
    <mergeCell ref="H58:M58"/>
    <mergeCell ref="H59:M59"/>
    <mergeCell ref="H18:L18"/>
    <mergeCell ref="B19:J19"/>
    <mergeCell ref="B24:J24"/>
    <mergeCell ref="B23:J23"/>
    <mergeCell ref="B22:J22"/>
    <mergeCell ref="B21:J21"/>
    <mergeCell ref="B20:J20"/>
    <mergeCell ref="L8:L11"/>
    <mergeCell ref="C3:M3"/>
    <mergeCell ref="J4:M4"/>
    <mergeCell ref="J5:M5"/>
    <mergeCell ref="B6:M6"/>
    <mergeCell ref="B7:L7"/>
    <mergeCell ref="B8:J8"/>
    <mergeCell ref="B9:J9"/>
    <mergeCell ref="B10:J10"/>
    <mergeCell ref="B11:J11"/>
    <mergeCell ref="B3:B5"/>
    <mergeCell ref="C5:I5"/>
    <mergeCell ref="C4:I4"/>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C986-C3CA-4B97-90C0-2A5F80284736}">
  <dimension ref="B2:M60"/>
  <sheetViews>
    <sheetView workbookViewId="0">
      <selection activeCell="G25" sqref="G25"/>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3.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ht="24.75" customHeight="1" thickTop="1" thickBot="1" x14ac:dyDescent="0.4">
      <c r="B4" s="13"/>
      <c r="C4" s="66" t="s">
        <v>358</v>
      </c>
      <c r="D4" s="67"/>
      <c r="E4" s="67"/>
      <c r="F4" s="67"/>
      <c r="G4" s="67"/>
      <c r="H4" s="67"/>
      <c r="I4" s="68"/>
      <c r="J4" s="61" t="s">
        <v>0</v>
      </c>
      <c r="K4" s="62"/>
      <c r="L4" s="62"/>
      <c r="M4" s="63"/>
    </row>
    <row r="5" spans="2:13" ht="25.5" customHeight="1" thickBot="1" x14ac:dyDescent="0.4">
      <c r="B5" s="14"/>
      <c r="C5" s="64" t="s">
        <v>360</v>
      </c>
      <c r="D5" s="65"/>
      <c r="E5" s="65"/>
      <c r="F5" s="65"/>
      <c r="G5" s="65"/>
      <c r="H5" s="65"/>
      <c r="I5" s="65"/>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69" t="s">
        <v>365</v>
      </c>
      <c r="C8" s="58"/>
      <c r="D8" s="58"/>
      <c r="E8" s="58"/>
      <c r="F8" s="58"/>
      <c r="G8" s="58"/>
      <c r="H8" s="58"/>
      <c r="I8" s="58"/>
      <c r="J8" s="58"/>
      <c r="K8" s="2">
        <v>-1</v>
      </c>
      <c r="L8" s="35"/>
      <c r="M8" s="3"/>
    </row>
    <row r="9" spans="2:13" ht="15.75" x14ac:dyDescent="0.25">
      <c r="B9" s="59" t="s">
        <v>364</v>
      </c>
      <c r="C9" s="37"/>
      <c r="D9" s="37"/>
      <c r="E9" s="37"/>
      <c r="F9" s="37"/>
      <c r="G9" s="37"/>
      <c r="H9" s="37"/>
      <c r="I9" s="37"/>
      <c r="J9" s="37"/>
      <c r="K9" s="2">
        <v>-2</v>
      </c>
      <c r="L9" s="35"/>
      <c r="M9" s="3"/>
    </row>
    <row r="10" spans="2:13" ht="15.75" x14ac:dyDescent="0.25">
      <c r="B10" s="36" t="s">
        <v>7</v>
      </c>
      <c r="C10" s="37"/>
      <c r="D10" s="37"/>
      <c r="E10" s="37"/>
      <c r="F10" s="37"/>
      <c r="G10" s="37"/>
      <c r="H10" s="37"/>
      <c r="I10" s="37"/>
      <c r="J10" s="37"/>
      <c r="K10" s="2">
        <v>-3</v>
      </c>
      <c r="L10" s="35"/>
      <c r="M10" s="3"/>
    </row>
    <row r="11" spans="2:13" ht="15.75" x14ac:dyDescent="0.25">
      <c r="B11" s="36" t="s">
        <v>8</v>
      </c>
      <c r="C11" s="37"/>
      <c r="D11" s="37"/>
      <c r="E11" s="37"/>
      <c r="F11" s="37"/>
      <c r="G11" s="37"/>
      <c r="H11" s="37"/>
      <c r="I11" s="37"/>
      <c r="J11" s="37"/>
      <c r="K11" s="2">
        <v>-4</v>
      </c>
      <c r="L11" s="35"/>
      <c r="M11" s="3"/>
    </row>
    <row r="12" spans="2:13" ht="15.75" x14ac:dyDescent="0.25">
      <c r="B12" s="4"/>
      <c r="K12" s="2"/>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59" t="s">
        <v>361</v>
      </c>
      <c r="C19" s="37"/>
      <c r="D19" s="37"/>
      <c r="E19" s="37"/>
      <c r="F19" s="37"/>
      <c r="G19" s="37"/>
      <c r="H19" s="37"/>
      <c r="I19" s="37"/>
      <c r="J19" s="37"/>
      <c r="K19" s="2">
        <v>-1</v>
      </c>
      <c r="M19" s="3"/>
    </row>
    <row r="20" spans="2:13" ht="15.75" x14ac:dyDescent="0.25">
      <c r="B20" s="59" t="s">
        <v>362</v>
      </c>
      <c r="C20" s="37"/>
      <c r="D20" s="37"/>
      <c r="E20" s="37"/>
      <c r="F20" s="37"/>
      <c r="G20" s="37"/>
      <c r="H20" s="37"/>
      <c r="I20" s="37"/>
      <c r="J20" s="37"/>
      <c r="K20" s="2">
        <v>-2</v>
      </c>
      <c r="M20" s="3"/>
    </row>
    <row r="21" spans="2:13" ht="15.75" x14ac:dyDescent="0.25">
      <c r="B21" s="59" t="s">
        <v>363</v>
      </c>
      <c r="C21" s="37"/>
      <c r="D21" s="37"/>
      <c r="E21" s="37"/>
      <c r="F21" s="37"/>
      <c r="G21" s="37"/>
      <c r="H21" s="37"/>
      <c r="I21" s="37"/>
      <c r="J21" s="37"/>
      <c r="K21" s="2">
        <v>-3</v>
      </c>
      <c r="M21" s="3"/>
    </row>
    <row r="22" spans="2:13" ht="15.75" x14ac:dyDescent="0.25">
      <c r="B22" s="36"/>
      <c r="C22" s="37"/>
      <c r="D22" s="37"/>
      <c r="E22" s="37"/>
      <c r="F22" s="37"/>
      <c r="G22" s="37"/>
      <c r="H22" s="37"/>
      <c r="I22" s="37"/>
      <c r="J22" s="37"/>
      <c r="K22" s="2"/>
      <c r="M22" s="3"/>
    </row>
    <row r="23" spans="2:13" ht="15.75" x14ac:dyDescent="0.25">
      <c r="B23" s="36"/>
      <c r="C23" s="37"/>
      <c r="D23" s="37"/>
      <c r="E23" s="37"/>
      <c r="F23" s="37"/>
      <c r="G23" s="37"/>
      <c r="H23" s="37"/>
      <c r="I23" s="37"/>
      <c r="J23" s="37"/>
      <c r="K23" s="2"/>
      <c r="M23" s="3"/>
    </row>
    <row r="24" spans="2:13" ht="15.75" x14ac:dyDescent="0.25">
      <c r="B24" s="36"/>
      <c r="C24" s="37"/>
      <c r="D24" s="37"/>
      <c r="E24" s="37"/>
      <c r="F24" s="37"/>
      <c r="G24" s="37"/>
      <c r="H24" s="37"/>
      <c r="I24" s="37"/>
      <c r="J24" s="37"/>
      <c r="K24" s="2"/>
      <c r="M24" s="3"/>
    </row>
    <row r="25" spans="2:13" x14ac:dyDescent="0.2">
      <c r="B25" s="4"/>
      <c r="M25" s="3"/>
    </row>
    <row r="26" spans="2:13" x14ac:dyDescent="0.2">
      <c r="B26" s="4"/>
      <c r="M26" s="3"/>
    </row>
    <row r="27" spans="2:13" x14ac:dyDescent="0.2">
      <c r="B27" s="4"/>
      <c r="M27" s="3"/>
    </row>
    <row r="28" spans="2:13" x14ac:dyDescent="0.2">
      <c r="B28" s="4"/>
      <c r="M28" s="3"/>
    </row>
    <row r="29" spans="2:13" x14ac:dyDescent="0.2">
      <c r="B29" s="4"/>
      <c r="M29" s="3"/>
    </row>
    <row r="30" spans="2:13" x14ac:dyDescent="0.2">
      <c r="B30" s="4"/>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306</v>
      </c>
      <c r="I59" s="55"/>
      <c r="J59" s="55"/>
      <c r="K59" s="55"/>
      <c r="L59" s="55"/>
      <c r="M59" s="56"/>
    </row>
    <row r="60" spans="2:13" ht="12" thickTop="1" x14ac:dyDescent="0.2"/>
  </sheetData>
  <mergeCells count="26">
    <mergeCell ref="B3:B5"/>
    <mergeCell ref="C3:M3"/>
    <mergeCell ref="C4:I4"/>
    <mergeCell ref="J4:M4"/>
    <mergeCell ref="C5:I5"/>
    <mergeCell ref="J5:M5"/>
    <mergeCell ref="B23:J23"/>
    <mergeCell ref="B6:M6"/>
    <mergeCell ref="B7:L7"/>
    <mergeCell ref="B8:J8"/>
    <mergeCell ref="L8:L11"/>
    <mergeCell ref="B9:J9"/>
    <mergeCell ref="B10:J10"/>
    <mergeCell ref="B11:J11"/>
    <mergeCell ref="H18:L18"/>
    <mergeCell ref="B19:J19"/>
    <mergeCell ref="B20:J20"/>
    <mergeCell ref="B21:J21"/>
    <mergeCell ref="B22:J22"/>
    <mergeCell ref="B24:J24"/>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M60"/>
  <sheetViews>
    <sheetView workbookViewId="0">
      <selection activeCell="C4" sqref="C4:I4"/>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343</v>
      </c>
      <c r="D4" s="19"/>
      <c r="E4" s="19"/>
      <c r="F4" s="19"/>
      <c r="G4" s="19"/>
      <c r="H4" s="19"/>
      <c r="I4" s="20"/>
      <c r="J4" s="21" t="s">
        <v>0</v>
      </c>
      <c r="K4" s="22"/>
      <c r="L4" s="22"/>
      <c r="M4" s="23"/>
    </row>
    <row r="5" spans="2:13" ht="24" customHeight="1" thickBot="1" x14ac:dyDescent="0.35">
      <c r="B5" s="14"/>
      <c r="C5" s="24" t="s">
        <v>41</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57" t="s">
        <v>42</v>
      </c>
      <c r="C8" s="58"/>
      <c r="D8" s="58"/>
      <c r="E8" s="58"/>
      <c r="F8" s="58"/>
      <c r="G8" s="58"/>
      <c r="H8" s="58"/>
      <c r="I8" s="58"/>
      <c r="J8" s="58"/>
      <c r="K8" s="9">
        <v>-1</v>
      </c>
      <c r="L8" s="35"/>
      <c r="M8" s="3"/>
    </row>
    <row r="9" spans="2:13" ht="15.75" x14ac:dyDescent="0.2">
      <c r="B9" s="36" t="s">
        <v>59</v>
      </c>
      <c r="C9" s="37"/>
      <c r="D9" s="37"/>
      <c r="E9" s="37"/>
      <c r="F9" s="37"/>
      <c r="G9" s="37"/>
      <c r="H9" s="37"/>
      <c r="I9" s="37"/>
      <c r="J9" s="37"/>
      <c r="K9" s="9">
        <v>-2</v>
      </c>
      <c r="L9" s="35"/>
      <c r="M9" s="3"/>
    </row>
    <row r="10" spans="2:13" ht="15.75" x14ac:dyDescent="0.2">
      <c r="B10" s="33" t="s">
        <v>43</v>
      </c>
      <c r="C10" s="34"/>
      <c r="D10" s="34"/>
      <c r="E10" s="34"/>
      <c r="F10" s="34"/>
      <c r="G10" s="34"/>
      <c r="H10" s="34"/>
      <c r="I10" s="34"/>
      <c r="J10" s="34"/>
      <c r="K10" s="9">
        <v>-3</v>
      </c>
      <c r="L10" s="35"/>
      <c r="M10" s="3"/>
    </row>
    <row r="11" spans="2:13" ht="15.75" x14ac:dyDescent="0.2">
      <c r="B11" s="36" t="s">
        <v>44</v>
      </c>
      <c r="C11" s="37"/>
      <c r="D11" s="37"/>
      <c r="E11" s="37"/>
      <c r="F11" s="37"/>
      <c r="G11" s="37"/>
      <c r="H11" s="37"/>
      <c r="I11" s="37"/>
      <c r="J11" s="37"/>
      <c r="K11" s="9">
        <v>-4</v>
      </c>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45</v>
      </c>
      <c r="C19" s="37"/>
      <c r="D19" s="37"/>
      <c r="E19" s="37"/>
      <c r="F19" s="37"/>
      <c r="G19" s="37"/>
      <c r="H19" s="37"/>
      <c r="I19" s="37"/>
      <c r="J19" s="37"/>
      <c r="K19" s="10">
        <v>-1</v>
      </c>
      <c r="M19" s="3"/>
    </row>
    <row r="20" spans="2:13" ht="15.75" x14ac:dyDescent="0.25">
      <c r="B20" s="36" t="s">
        <v>46</v>
      </c>
      <c r="C20" s="37"/>
      <c r="D20" s="37"/>
      <c r="E20" s="37"/>
      <c r="F20" s="37"/>
      <c r="G20" s="37"/>
      <c r="H20" s="37"/>
      <c r="I20" s="37"/>
      <c r="J20" s="37"/>
      <c r="K20" s="10">
        <v>-2</v>
      </c>
      <c r="M20" s="3"/>
    </row>
    <row r="21" spans="2:13" ht="15.75" x14ac:dyDescent="0.25">
      <c r="B21" s="36" t="s">
        <v>47</v>
      </c>
      <c r="C21" s="37"/>
      <c r="D21" s="37"/>
      <c r="E21" s="37"/>
      <c r="F21" s="37"/>
      <c r="G21" s="37"/>
      <c r="H21" s="37"/>
      <c r="I21" s="37"/>
      <c r="J21" s="37"/>
      <c r="K21" s="10">
        <v>-3</v>
      </c>
      <c r="M21" s="3"/>
    </row>
    <row r="22" spans="2:13" ht="15.75" x14ac:dyDescent="0.25">
      <c r="B22" s="36" t="s">
        <v>48</v>
      </c>
      <c r="C22" s="37"/>
      <c r="D22" s="37"/>
      <c r="E22" s="37"/>
      <c r="F22" s="37"/>
      <c r="G22" s="37"/>
      <c r="H22" s="37"/>
      <c r="I22" s="37"/>
      <c r="J22" s="37"/>
      <c r="K22" s="10">
        <v>-4</v>
      </c>
      <c r="M22" s="3"/>
    </row>
    <row r="23" spans="2:13" ht="15.75" x14ac:dyDescent="0.25">
      <c r="B23" s="36" t="s">
        <v>49</v>
      </c>
      <c r="C23" s="37"/>
      <c r="D23" s="37"/>
      <c r="E23" s="37"/>
      <c r="F23" s="37"/>
      <c r="G23" s="37"/>
      <c r="H23" s="37"/>
      <c r="I23" s="37"/>
      <c r="J23" s="37"/>
      <c r="K23" s="10">
        <v>-5</v>
      </c>
      <c r="M23" s="3"/>
    </row>
    <row r="24" spans="2:13" ht="15.75" x14ac:dyDescent="0.25">
      <c r="B24" s="36" t="s">
        <v>50</v>
      </c>
      <c r="C24" s="37"/>
      <c r="D24" s="37"/>
      <c r="E24" s="37"/>
      <c r="F24" s="37"/>
      <c r="G24" s="37"/>
      <c r="H24" s="37"/>
      <c r="I24" s="37"/>
      <c r="J24" s="37"/>
      <c r="K24" s="10">
        <v>-6</v>
      </c>
      <c r="M24" s="3"/>
    </row>
    <row r="25" spans="2:13" ht="15.75" x14ac:dyDescent="0.25">
      <c r="B25" s="36" t="s">
        <v>51</v>
      </c>
      <c r="C25" s="37"/>
      <c r="D25" s="37"/>
      <c r="E25" s="37"/>
      <c r="F25" s="37"/>
      <c r="G25" s="37"/>
      <c r="H25" s="37"/>
      <c r="I25" s="37"/>
      <c r="J25" s="37"/>
      <c r="K25" s="10">
        <v>-7</v>
      </c>
      <c r="M25" s="3"/>
    </row>
    <row r="26" spans="2:13" ht="15.75" x14ac:dyDescent="0.25">
      <c r="B26" s="36" t="s">
        <v>52</v>
      </c>
      <c r="C26" s="37"/>
      <c r="D26" s="37"/>
      <c r="E26" s="37"/>
      <c r="F26" s="37"/>
      <c r="G26" s="37"/>
      <c r="H26" s="37"/>
      <c r="I26" s="37"/>
      <c r="J26" s="37"/>
      <c r="K26" s="10">
        <v>-8</v>
      </c>
      <c r="M26" s="3"/>
    </row>
    <row r="27" spans="2:13" ht="15.75" x14ac:dyDescent="0.25">
      <c r="B27" s="36" t="s">
        <v>53</v>
      </c>
      <c r="C27" s="37"/>
      <c r="D27" s="37"/>
      <c r="E27" s="37"/>
      <c r="F27" s="37"/>
      <c r="G27" s="37"/>
      <c r="H27" s="37"/>
      <c r="I27" s="37"/>
      <c r="J27" s="37"/>
      <c r="K27" s="10">
        <v>-9</v>
      </c>
      <c r="M27" s="3"/>
    </row>
    <row r="28" spans="2:13" ht="15.75" x14ac:dyDescent="0.25">
      <c r="B28" s="36" t="s">
        <v>54</v>
      </c>
      <c r="C28" s="37"/>
      <c r="D28" s="37"/>
      <c r="E28" s="37"/>
      <c r="F28" s="37"/>
      <c r="G28" s="37"/>
      <c r="H28" s="37"/>
      <c r="I28" s="37"/>
      <c r="J28" s="37"/>
      <c r="K28" s="10">
        <v>-10</v>
      </c>
      <c r="M28" s="3"/>
    </row>
    <row r="29" spans="2:13" ht="15.75" x14ac:dyDescent="0.25">
      <c r="B29" s="36" t="s">
        <v>55</v>
      </c>
      <c r="C29" s="41"/>
      <c r="D29" s="41"/>
      <c r="E29" s="41"/>
      <c r="F29" s="41"/>
      <c r="G29" s="41"/>
      <c r="H29" s="41"/>
      <c r="I29" s="41"/>
      <c r="J29" s="41"/>
      <c r="K29" s="10">
        <v>-11</v>
      </c>
      <c r="M29" s="3"/>
    </row>
    <row r="30" spans="2:13" ht="15.75" x14ac:dyDescent="0.25">
      <c r="B30" s="36" t="s">
        <v>56</v>
      </c>
      <c r="C30" s="41"/>
      <c r="D30" s="41"/>
      <c r="E30" s="41"/>
      <c r="F30" s="41"/>
      <c r="G30" s="41"/>
      <c r="H30" s="41"/>
      <c r="I30" s="41"/>
      <c r="J30" s="41"/>
      <c r="K30" s="10">
        <v>-12</v>
      </c>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309</v>
      </c>
      <c r="I59" s="55"/>
      <c r="J59" s="55"/>
      <c r="K59" s="55"/>
      <c r="L59" s="55"/>
      <c r="M59" s="56"/>
    </row>
    <row r="60" spans="2:13" ht="12" thickTop="1" x14ac:dyDescent="0.2"/>
  </sheetData>
  <mergeCells count="33">
    <mergeCell ref="H59:M59"/>
    <mergeCell ref="B30:J30"/>
    <mergeCell ref="B29:J29"/>
    <mergeCell ref="B28:J28"/>
    <mergeCell ref="B23:J23"/>
    <mergeCell ref="B24:J24"/>
    <mergeCell ref="B25:J25"/>
    <mergeCell ref="B26:J26"/>
    <mergeCell ref="B27:J27"/>
    <mergeCell ref="B57:C59"/>
    <mergeCell ref="D57:E59"/>
    <mergeCell ref="F57:G59"/>
    <mergeCell ref="H57:M57"/>
    <mergeCell ref="H58:M58"/>
    <mergeCell ref="B22:J22"/>
    <mergeCell ref="B6:M6"/>
    <mergeCell ref="B7:L7"/>
    <mergeCell ref="B8:J8"/>
    <mergeCell ref="L8:L11"/>
    <mergeCell ref="B9:J9"/>
    <mergeCell ref="B10:J10"/>
    <mergeCell ref="B11:J11"/>
    <mergeCell ref="B12:J12"/>
    <mergeCell ref="H18:L18"/>
    <mergeCell ref="B19:J19"/>
    <mergeCell ref="B20:J20"/>
    <mergeCell ref="B21:J2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60"/>
  <sheetViews>
    <sheetView workbookViewId="0">
      <selection activeCell="C5" sqref="C5:I5"/>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5.164062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359</v>
      </c>
      <c r="D4" s="19"/>
      <c r="E4" s="19"/>
      <c r="F4" s="19"/>
      <c r="G4" s="19"/>
      <c r="H4" s="19"/>
      <c r="I4" s="20"/>
      <c r="J4" s="21" t="s">
        <v>0</v>
      </c>
      <c r="K4" s="22"/>
      <c r="L4" s="22"/>
      <c r="M4" s="23"/>
    </row>
    <row r="5" spans="2:13" ht="24" customHeight="1" thickBot="1" x14ac:dyDescent="0.35">
      <c r="B5" s="14"/>
      <c r="C5" s="24" t="s">
        <v>249</v>
      </c>
      <c r="D5" s="25"/>
      <c r="E5" s="25"/>
      <c r="F5" s="25"/>
      <c r="G5" s="25"/>
      <c r="H5" s="25"/>
      <c r="I5" s="26"/>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
      <c r="B8" s="33" t="s">
        <v>221</v>
      </c>
      <c r="C8" s="34"/>
      <c r="D8" s="34"/>
      <c r="E8" s="34"/>
      <c r="F8" s="34"/>
      <c r="G8" s="34"/>
      <c r="H8" s="34"/>
      <c r="I8" s="34"/>
      <c r="J8" s="34"/>
      <c r="K8" s="9">
        <v>-1</v>
      </c>
      <c r="L8" s="35"/>
      <c r="M8" s="3"/>
    </row>
    <row r="9" spans="2:13" ht="15.75" x14ac:dyDescent="0.2">
      <c r="B9" s="36" t="s">
        <v>250</v>
      </c>
      <c r="C9" s="37"/>
      <c r="D9" s="37"/>
      <c r="E9" s="37"/>
      <c r="F9" s="37"/>
      <c r="G9" s="37"/>
      <c r="H9" s="37"/>
      <c r="I9" s="37"/>
      <c r="J9" s="37"/>
      <c r="K9" s="9">
        <v>-2</v>
      </c>
      <c r="L9" s="35"/>
      <c r="M9" s="3"/>
    </row>
    <row r="10" spans="2:13" ht="15.75" x14ac:dyDescent="0.2">
      <c r="B10" s="36"/>
      <c r="C10" s="37"/>
      <c r="D10" s="37"/>
      <c r="E10" s="37"/>
      <c r="F10" s="37"/>
      <c r="G10" s="37"/>
      <c r="H10" s="37"/>
      <c r="I10" s="37"/>
      <c r="J10" s="37"/>
      <c r="K10" s="9"/>
      <c r="L10" s="35"/>
      <c r="M10" s="3"/>
    </row>
    <row r="11" spans="2:13" ht="15.75" x14ac:dyDescent="0.2">
      <c r="B11" s="36"/>
      <c r="C11" s="37"/>
      <c r="D11" s="37"/>
      <c r="E11" s="37"/>
      <c r="F11" s="37"/>
      <c r="G11" s="37"/>
      <c r="H11" s="37"/>
      <c r="I11" s="37"/>
      <c r="J11" s="37"/>
      <c r="K11" s="9"/>
      <c r="L11" s="35"/>
      <c r="M11" s="3"/>
    </row>
    <row r="12" spans="2:13" ht="15.75" x14ac:dyDescent="0.2">
      <c r="B12" s="36"/>
      <c r="C12" s="37"/>
      <c r="D12" s="37"/>
      <c r="E12" s="37"/>
      <c r="F12" s="37"/>
      <c r="G12" s="37"/>
      <c r="H12" s="37"/>
      <c r="I12" s="37"/>
      <c r="J12" s="37"/>
      <c r="K12" s="9"/>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29.25" customHeight="1" x14ac:dyDescent="0.2">
      <c r="B19" s="39" t="s">
        <v>251</v>
      </c>
      <c r="C19" s="40"/>
      <c r="D19" s="40"/>
      <c r="E19" s="40"/>
      <c r="F19" s="40"/>
      <c r="G19" s="40"/>
      <c r="H19" s="40"/>
      <c r="I19" s="40"/>
      <c r="J19" s="40"/>
      <c r="K19" s="11">
        <v>-1</v>
      </c>
      <c r="M19" s="3"/>
    </row>
    <row r="20" spans="2:13" ht="30" customHeight="1" x14ac:dyDescent="0.2">
      <c r="B20" s="39" t="s">
        <v>252</v>
      </c>
      <c r="C20" s="40"/>
      <c r="D20" s="40"/>
      <c r="E20" s="40"/>
      <c r="F20" s="40"/>
      <c r="G20" s="40"/>
      <c r="H20" s="40"/>
      <c r="I20" s="40"/>
      <c r="J20" s="40"/>
      <c r="K20" s="11">
        <v>-2</v>
      </c>
      <c r="M20" s="3"/>
    </row>
    <row r="21" spans="2:13" ht="26.25" customHeight="1" x14ac:dyDescent="0.2">
      <c r="B21" s="39" t="s">
        <v>253</v>
      </c>
      <c r="C21" s="40"/>
      <c r="D21" s="40"/>
      <c r="E21" s="40"/>
      <c r="F21" s="40"/>
      <c r="G21" s="40"/>
      <c r="H21" s="40"/>
      <c r="I21" s="40"/>
      <c r="J21" s="40"/>
      <c r="K21" s="11">
        <v>-3</v>
      </c>
      <c r="M21" s="3"/>
    </row>
    <row r="22" spans="2:13" ht="14.25" customHeight="1" x14ac:dyDescent="0.2">
      <c r="B22" s="36"/>
      <c r="C22" s="37"/>
      <c r="D22" s="37"/>
      <c r="E22" s="37"/>
      <c r="F22" s="37"/>
      <c r="G22" s="37"/>
      <c r="H22" s="37"/>
      <c r="I22" s="37"/>
      <c r="J22" s="37"/>
      <c r="K22" s="11"/>
      <c r="M22" s="3"/>
    </row>
    <row r="23" spans="2:13" ht="15.75" customHeight="1" x14ac:dyDescent="0.2">
      <c r="B23" s="39"/>
      <c r="C23" s="40"/>
      <c r="D23" s="40"/>
      <c r="E23" s="40"/>
      <c r="F23" s="40"/>
      <c r="G23" s="40"/>
      <c r="H23" s="40"/>
      <c r="I23" s="40"/>
      <c r="J23" s="40"/>
      <c r="K23" s="11"/>
      <c r="M23" s="3"/>
    </row>
    <row r="24" spans="2:13" ht="15.75" x14ac:dyDescent="0.2">
      <c r="B24" s="36"/>
      <c r="C24" s="37"/>
      <c r="D24" s="37"/>
      <c r="E24" s="37"/>
      <c r="F24" s="37"/>
      <c r="G24" s="37"/>
      <c r="H24" s="37"/>
      <c r="I24" s="37"/>
      <c r="J24" s="37"/>
      <c r="K24" s="11"/>
      <c r="M24" s="3"/>
    </row>
    <row r="25" spans="2:13" ht="15.75" x14ac:dyDescent="0.2">
      <c r="B25" s="36"/>
      <c r="C25" s="37"/>
      <c r="D25" s="37"/>
      <c r="E25" s="37"/>
      <c r="F25" s="37"/>
      <c r="G25" s="37"/>
      <c r="H25" s="37"/>
      <c r="I25" s="37"/>
      <c r="J25" s="37"/>
      <c r="K25" s="11"/>
      <c r="M25" s="3"/>
    </row>
    <row r="26" spans="2:13" ht="15.75" x14ac:dyDescent="0.25">
      <c r="B26" s="36"/>
      <c r="C26" s="37"/>
      <c r="D26" s="37"/>
      <c r="E26" s="37"/>
      <c r="F26" s="37"/>
      <c r="G26" s="37"/>
      <c r="H26" s="37"/>
      <c r="I26" s="37"/>
      <c r="J26" s="37"/>
      <c r="K26" s="10"/>
      <c r="M26" s="3"/>
    </row>
    <row r="27" spans="2:13" ht="15.75" x14ac:dyDescent="0.25">
      <c r="B27" s="36"/>
      <c r="C27" s="37"/>
      <c r="D27" s="37"/>
      <c r="E27" s="37"/>
      <c r="F27" s="37"/>
      <c r="G27" s="37"/>
      <c r="H27" s="37"/>
      <c r="I27" s="37"/>
      <c r="J27" s="37"/>
      <c r="K27" s="10"/>
      <c r="M27" s="3"/>
    </row>
    <row r="28" spans="2:13" ht="15.75" x14ac:dyDescent="0.25">
      <c r="B28" s="36"/>
      <c r="C28" s="37"/>
      <c r="D28" s="37"/>
      <c r="E28" s="37"/>
      <c r="F28" s="37"/>
      <c r="G28" s="37"/>
      <c r="H28" s="37"/>
      <c r="I28" s="37"/>
      <c r="J28" s="37"/>
      <c r="K28" s="10"/>
      <c r="M28" s="3"/>
    </row>
    <row r="29" spans="2:13" ht="15.75" x14ac:dyDescent="0.25">
      <c r="B29" s="36"/>
      <c r="C29" s="41"/>
      <c r="D29" s="41"/>
      <c r="E29" s="41"/>
      <c r="F29" s="41"/>
      <c r="G29" s="41"/>
      <c r="H29" s="41"/>
      <c r="I29" s="41"/>
      <c r="J29" s="41"/>
      <c r="K29" s="10"/>
      <c r="M29" s="3"/>
    </row>
    <row r="30" spans="2:13" ht="15.75" x14ac:dyDescent="0.25">
      <c r="B30" s="36"/>
      <c r="C30" s="41"/>
      <c r="D30" s="41"/>
      <c r="E30" s="41"/>
      <c r="F30" s="41"/>
      <c r="G30" s="41"/>
      <c r="H30" s="41"/>
      <c r="I30" s="41"/>
      <c r="J30" s="41"/>
      <c r="K30" s="10"/>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334</v>
      </c>
      <c r="I59" s="55"/>
      <c r="J59" s="55"/>
      <c r="K59" s="55"/>
      <c r="L59" s="55"/>
      <c r="M59" s="56"/>
    </row>
    <row r="60" spans="2:13" ht="12" thickTop="1" x14ac:dyDescent="0.2"/>
  </sheetData>
  <mergeCells count="33">
    <mergeCell ref="B29:J29"/>
    <mergeCell ref="B30:J30"/>
    <mergeCell ref="B57:C59"/>
    <mergeCell ref="D57:E59"/>
    <mergeCell ref="F57:G59"/>
    <mergeCell ref="H57:M57"/>
    <mergeCell ref="H58:M58"/>
    <mergeCell ref="H59:M59"/>
    <mergeCell ref="B28:J28"/>
    <mergeCell ref="B12:J12"/>
    <mergeCell ref="H18:L18"/>
    <mergeCell ref="B19:J19"/>
    <mergeCell ref="B20:J20"/>
    <mergeCell ref="B21:J21"/>
    <mergeCell ref="B22:J22"/>
    <mergeCell ref="B23:J23"/>
    <mergeCell ref="B24:J24"/>
    <mergeCell ref="B25:J25"/>
    <mergeCell ref="B26:J26"/>
    <mergeCell ref="B27:J27"/>
    <mergeCell ref="B6:M6"/>
    <mergeCell ref="B7:L7"/>
    <mergeCell ref="B8:J8"/>
    <mergeCell ref="L8:L11"/>
    <mergeCell ref="B9:J9"/>
    <mergeCell ref="B10:J10"/>
    <mergeCell ref="B11:J11"/>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M60"/>
  <sheetViews>
    <sheetView workbookViewId="0">
      <selection activeCell="N42" sqref="N42"/>
    </sheetView>
  </sheetViews>
  <sheetFormatPr defaultRowHeight="11.25" x14ac:dyDescent="0.2"/>
  <cols>
    <col min="2" max="2" width="16.5" customWidth="1"/>
    <col min="3" max="3" width="12.83203125" customWidth="1"/>
    <col min="5" max="5" width="20.5" customWidth="1"/>
    <col min="7" max="7" width="22.33203125" customWidth="1"/>
    <col min="9" max="9" width="16.6640625" customWidth="1"/>
    <col min="10" max="10" width="8.5" customWidth="1"/>
    <col min="11" max="11" width="3.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s="8" customFormat="1" ht="24.75" customHeight="1" thickTop="1" thickBot="1" x14ac:dyDescent="0.25">
      <c r="B4" s="13"/>
      <c r="C4" s="18" t="s">
        <v>341</v>
      </c>
      <c r="D4" s="19"/>
      <c r="E4" s="19"/>
      <c r="F4" s="19"/>
      <c r="G4" s="19"/>
      <c r="H4" s="19"/>
      <c r="I4" s="20"/>
      <c r="J4" s="21" t="s">
        <v>0</v>
      </c>
      <c r="K4" s="22"/>
      <c r="L4" s="22"/>
      <c r="M4" s="23"/>
    </row>
    <row r="5" spans="2:13" ht="26.25" customHeight="1" thickBot="1" x14ac:dyDescent="0.35">
      <c r="B5" s="14"/>
      <c r="C5" s="70" t="s">
        <v>30</v>
      </c>
      <c r="D5" s="71"/>
      <c r="E5" s="71"/>
      <c r="F5" s="71"/>
      <c r="G5" s="71"/>
      <c r="H5" s="71"/>
      <c r="I5" s="72"/>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57" t="s">
        <v>11</v>
      </c>
      <c r="C8" s="58"/>
      <c r="D8" s="58"/>
      <c r="E8" s="58"/>
      <c r="F8" s="58"/>
      <c r="G8" s="58"/>
      <c r="H8" s="58"/>
      <c r="I8" s="58"/>
      <c r="J8" s="58"/>
      <c r="K8" s="2">
        <v>-1</v>
      </c>
      <c r="L8" s="35"/>
      <c r="M8" s="3"/>
    </row>
    <row r="9" spans="2:13" ht="15.75" x14ac:dyDescent="0.25">
      <c r="B9" s="36" t="s">
        <v>12</v>
      </c>
      <c r="C9" s="37"/>
      <c r="D9" s="37"/>
      <c r="E9" s="37"/>
      <c r="F9" s="37"/>
      <c r="G9" s="37"/>
      <c r="H9" s="37"/>
      <c r="I9" s="37"/>
      <c r="J9" s="37"/>
      <c r="K9" s="2">
        <v>-2</v>
      </c>
      <c r="L9" s="35"/>
      <c r="M9" s="3"/>
    </row>
    <row r="10" spans="2:13" ht="15.75" x14ac:dyDescent="0.25">
      <c r="B10" s="33" t="s">
        <v>7</v>
      </c>
      <c r="C10" s="34"/>
      <c r="D10" s="34"/>
      <c r="E10" s="34"/>
      <c r="F10" s="34"/>
      <c r="G10" s="34"/>
      <c r="H10" s="34"/>
      <c r="I10" s="34"/>
      <c r="J10" s="34"/>
      <c r="K10" s="2">
        <v>-3</v>
      </c>
      <c r="L10" s="35"/>
      <c r="M10" s="3"/>
    </row>
    <row r="11" spans="2:13" ht="15.75" x14ac:dyDescent="0.25">
      <c r="B11" s="36" t="s">
        <v>8</v>
      </c>
      <c r="C11" s="37"/>
      <c r="D11" s="37"/>
      <c r="E11" s="37"/>
      <c r="F11" s="37"/>
      <c r="G11" s="37"/>
      <c r="H11" s="37"/>
      <c r="I11" s="37"/>
      <c r="J11" s="37"/>
      <c r="K11" s="2">
        <v>-4</v>
      </c>
      <c r="L11" s="35"/>
      <c r="M11" s="3"/>
    </row>
    <row r="12" spans="2:13" ht="15.75" x14ac:dyDescent="0.25">
      <c r="B12" s="4"/>
      <c r="K12" s="2"/>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9</v>
      </c>
      <c r="C19" s="37"/>
      <c r="D19" s="37"/>
      <c r="E19" s="37"/>
      <c r="F19" s="37"/>
      <c r="G19" s="37"/>
      <c r="H19" s="37"/>
      <c r="I19" s="37"/>
      <c r="J19" s="37"/>
      <c r="K19" s="2">
        <v>-1</v>
      </c>
      <c r="M19" s="3"/>
    </row>
    <row r="20" spans="2:13" ht="15.75" x14ac:dyDescent="0.25">
      <c r="B20" s="36" t="s">
        <v>14</v>
      </c>
      <c r="C20" s="37"/>
      <c r="D20" s="37"/>
      <c r="E20" s="37"/>
      <c r="F20" s="37"/>
      <c r="G20" s="37"/>
      <c r="H20" s="37"/>
      <c r="I20" s="37"/>
      <c r="J20" s="37"/>
      <c r="K20" s="2">
        <v>-2</v>
      </c>
      <c r="M20" s="3"/>
    </row>
    <row r="21" spans="2:13" ht="15.75" x14ac:dyDescent="0.25">
      <c r="B21" s="36" t="s">
        <v>15</v>
      </c>
      <c r="C21" s="37"/>
      <c r="D21" s="37"/>
      <c r="E21" s="37"/>
      <c r="F21" s="37"/>
      <c r="G21" s="37"/>
      <c r="H21" s="37"/>
      <c r="I21" s="37"/>
      <c r="J21" s="37"/>
      <c r="K21" s="2">
        <v>-3</v>
      </c>
      <c r="M21" s="3"/>
    </row>
    <row r="22" spans="2:13" ht="15.75" x14ac:dyDescent="0.25">
      <c r="B22" s="36" t="s">
        <v>16</v>
      </c>
      <c r="C22" s="37"/>
      <c r="D22" s="37"/>
      <c r="E22" s="37"/>
      <c r="F22" s="37"/>
      <c r="G22" s="37"/>
      <c r="H22" s="37"/>
      <c r="I22" s="37"/>
      <c r="J22" s="37"/>
      <c r="K22" s="2">
        <v>-4</v>
      </c>
      <c r="M22" s="3"/>
    </row>
    <row r="23" spans="2:13" ht="15.75" x14ac:dyDescent="0.25">
      <c r="B23" s="36" t="s">
        <v>17</v>
      </c>
      <c r="C23" s="37"/>
      <c r="D23" s="37"/>
      <c r="E23" s="37"/>
      <c r="F23" s="37"/>
      <c r="G23" s="37"/>
      <c r="H23" s="37"/>
      <c r="I23" s="37"/>
      <c r="J23" s="37"/>
      <c r="K23" s="2">
        <v>-5</v>
      </c>
      <c r="M23" s="3"/>
    </row>
    <row r="24" spans="2:13" ht="15.75" x14ac:dyDescent="0.25">
      <c r="B24" s="36" t="s">
        <v>18</v>
      </c>
      <c r="C24" s="37"/>
      <c r="D24" s="37"/>
      <c r="E24" s="37"/>
      <c r="F24" s="37"/>
      <c r="G24" s="37"/>
      <c r="H24" s="37"/>
      <c r="I24" s="37"/>
      <c r="J24" s="37"/>
      <c r="K24" s="2">
        <v>-6</v>
      </c>
      <c r="M24" s="3"/>
    </row>
    <row r="25" spans="2:13" ht="15.75" x14ac:dyDescent="0.25">
      <c r="B25" s="36" t="s">
        <v>19</v>
      </c>
      <c r="C25" s="37"/>
      <c r="D25" s="37"/>
      <c r="E25" s="37"/>
      <c r="F25" s="37"/>
      <c r="G25" s="37"/>
      <c r="H25" s="37"/>
      <c r="I25" s="37"/>
      <c r="J25" s="37"/>
      <c r="K25" s="2">
        <v>-7</v>
      </c>
      <c r="M25" s="3"/>
    </row>
    <row r="26" spans="2:13" ht="15.75" x14ac:dyDescent="0.25">
      <c r="B26" s="36" t="s">
        <v>20</v>
      </c>
      <c r="C26" s="37"/>
      <c r="D26" s="37"/>
      <c r="E26" s="37"/>
      <c r="F26" s="37"/>
      <c r="G26" s="37"/>
      <c r="H26" s="37"/>
      <c r="I26" s="37"/>
      <c r="J26" s="37"/>
      <c r="K26" s="2">
        <v>-8</v>
      </c>
      <c r="M26" s="3"/>
    </row>
    <row r="27" spans="2:13" x14ac:dyDescent="0.2">
      <c r="B27" s="4"/>
      <c r="M27" s="3"/>
    </row>
    <row r="28" spans="2:13" x14ac:dyDescent="0.2">
      <c r="B28" s="4"/>
      <c r="M28" s="3"/>
    </row>
    <row r="29" spans="2:13" x14ac:dyDescent="0.2">
      <c r="B29" s="4"/>
      <c r="M29" s="3"/>
    </row>
    <row r="30" spans="2:13" x14ac:dyDescent="0.2">
      <c r="B30" s="4"/>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307</v>
      </c>
      <c r="I59" s="55"/>
      <c r="J59" s="55"/>
      <c r="K59" s="55"/>
      <c r="L59" s="55"/>
      <c r="M59" s="56"/>
    </row>
    <row r="60" spans="2:13" ht="12" thickTop="1" x14ac:dyDescent="0.2"/>
  </sheetData>
  <mergeCells count="28">
    <mergeCell ref="B24:J24"/>
    <mergeCell ref="B57:C59"/>
    <mergeCell ref="D57:E59"/>
    <mergeCell ref="F57:G59"/>
    <mergeCell ref="H57:M57"/>
    <mergeCell ref="H58:M58"/>
    <mergeCell ref="H59:M59"/>
    <mergeCell ref="B25:J25"/>
    <mergeCell ref="B26:J26"/>
    <mergeCell ref="B23:J23"/>
    <mergeCell ref="B6:M6"/>
    <mergeCell ref="B7:L7"/>
    <mergeCell ref="B8:J8"/>
    <mergeCell ref="L8:L11"/>
    <mergeCell ref="B9:J9"/>
    <mergeCell ref="B10:J10"/>
    <mergeCell ref="B11:J11"/>
    <mergeCell ref="H18:L18"/>
    <mergeCell ref="B19:J19"/>
    <mergeCell ref="B20:J20"/>
    <mergeCell ref="B21:J21"/>
    <mergeCell ref="B22:J22"/>
    <mergeCell ref="B3:B5"/>
    <mergeCell ref="C3:M3"/>
    <mergeCell ref="C4:I4"/>
    <mergeCell ref="J4:M4"/>
    <mergeCell ref="C5:I5"/>
    <mergeCell ref="J5:M5"/>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FF3F-649B-448B-BC1F-4D84444C1ADF}">
  <dimension ref="B2:M60"/>
  <sheetViews>
    <sheetView workbookViewId="0">
      <selection activeCell="U15" sqref="U15"/>
    </sheetView>
  </sheetViews>
  <sheetFormatPr defaultRowHeight="11.25" x14ac:dyDescent="0.2"/>
  <cols>
    <col min="2" max="2" width="16.5" customWidth="1"/>
    <col min="3" max="3" width="12.83203125" customWidth="1"/>
    <col min="5" max="5" width="20.5" customWidth="1"/>
    <col min="7" max="7" width="22.33203125" customWidth="1"/>
    <col min="10" max="10" width="8.5" customWidth="1"/>
    <col min="11" max="11" width="3.5" customWidth="1"/>
    <col min="12" max="12" width="6.33203125" customWidth="1"/>
    <col min="13" max="13" width="4.33203125" customWidth="1"/>
  </cols>
  <sheetData>
    <row r="2" spans="2:13" ht="12" thickBot="1" x14ac:dyDescent="0.25"/>
    <row r="3" spans="2:13" ht="29.25" customHeight="1" thickTop="1" thickBot="1" x14ac:dyDescent="0.4">
      <c r="B3" s="12" t="s">
        <v>10</v>
      </c>
      <c r="C3" s="15" t="s">
        <v>2</v>
      </c>
      <c r="D3" s="16"/>
      <c r="E3" s="16"/>
      <c r="F3" s="16"/>
      <c r="G3" s="16"/>
      <c r="H3" s="16"/>
      <c r="I3" s="16"/>
      <c r="J3" s="16"/>
      <c r="K3" s="16"/>
      <c r="L3" s="16"/>
      <c r="M3" s="17"/>
    </row>
    <row r="4" spans="2:13" ht="24.75" customHeight="1" thickTop="1" thickBot="1" x14ac:dyDescent="0.4">
      <c r="B4" s="13"/>
      <c r="C4" s="66" t="s">
        <v>346</v>
      </c>
      <c r="D4" s="67"/>
      <c r="E4" s="67"/>
      <c r="F4" s="67"/>
      <c r="G4" s="67"/>
      <c r="H4" s="67"/>
      <c r="I4" s="68"/>
      <c r="J4" s="61" t="s">
        <v>0</v>
      </c>
      <c r="K4" s="62"/>
      <c r="L4" s="62"/>
      <c r="M4" s="63"/>
    </row>
    <row r="5" spans="2:13" ht="25.5" customHeight="1" thickBot="1" x14ac:dyDescent="0.4">
      <c r="B5" s="14"/>
      <c r="C5" s="64" t="s">
        <v>344</v>
      </c>
      <c r="D5" s="65"/>
      <c r="E5" s="65"/>
      <c r="F5" s="65"/>
      <c r="G5" s="65"/>
      <c r="H5" s="65"/>
      <c r="I5" s="65"/>
      <c r="J5" s="27" t="s">
        <v>1</v>
      </c>
      <c r="K5" s="28"/>
      <c r="L5" s="28"/>
      <c r="M5" s="29"/>
    </row>
    <row r="6" spans="2:13" ht="20.25" customHeight="1" thickTop="1" thickBot="1" x14ac:dyDescent="0.35">
      <c r="B6" s="30"/>
      <c r="C6" s="30"/>
      <c r="D6" s="30"/>
      <c r="E6" s="30"/>
      <c r="F6" s="30"/>
      <c r="G6" s="30"/>
      <c r="H6" s="30"/>
      <c r="I6" s="30"/>
      <c r="J6" s="30"/>
      <c r="K6" s="30"/>
      <c r="L6" s="30"/>
      <c r="M6" s="30"/>
    </row>
    <row r="7" spans="2:13" ht="21" customHeight="1" thickTop="1" x14ac:dyDescent="0.3">
      <c r="B7" s="31" t="s">
        <v>3</v>
      </c>
      <c r="C7" s="32"/>
      <c r="D7" s="32"/>
      <c r="E7" s="32"/>
      <c r="F7" s="32"/>
      <c r="G7" s="32"/>
      <c r="H7" s="32"/>
      <c r="I7" s="32"/>
      <c r="J7" s="32"/>
      <c r="K7" s="32"/>
      <c r="L7" s="32"/>
      <c r="M7" s="1"/>
    </row>
    <row r="8" spans="2:13" ht="15.75" x14ac:dyDescent="0.25">
      <c r="B8" s="69" t="s">
        <v>345</v>
      </c>
      <c r="C8" s="58"/>
      <c r="D8" s="58"/>
      <c r="E8" s="58"/>
      <c r="F8" s="58"/>
      <c r="G8" s="58"/>
      <c r="H8" s="58"/>
      <c r="I8" s="58"/>
      <c r="J8" s="58"/>
      <c r="K8" s="2">
        <v>-1</v>
      </c>
      <c r="L8" s="35"/>
      <c r="M8" s="3"/>
    </row>
    <row r="9" spans="2:13" ht="15.75" x14ac:dyDescent="0.25">
      <c r="B9" s="36" t="s">
        <v>23</v>
      </c>
      <c r="C9" s="37"/>
      <c r="D9" s="37"/>
      <c r="E9" s="37"/>
      <c r="F9" s="37"/>
      <c r="G9" s="37"/>
      <c r="H9" s="37"/>
      <c r="I9" s="37"/>
      <c r="J9" s="37"/>
      <c r="K9" s="2">
        <v>-2</v>
      </c>
      <c r="L9" s="35"/>
      <c r="M9" s="3"/>
    </row>
    <row r="10" spans="2:13" ht="15.75" x14ac:dyDescent="0.25">
      <c r="B10" s="36" t="s">
        <v>7</v>
      </c>
      <c r="C10" s="37"/>
      <c r="D10" s="37"/>
      <c r="E10" s="37"/>
      <c r="F10" s="37"/>
      <c r="G10" s="37"/>
      <c r="H10" s="37"/>
      <c r="I10" s="37"/>
      <c r="J10" s="37"/>
      <c r="K10" s="2">
        <v>-3</v>
      </c>
      <c r="L10" s="35"/>
      <c r="M10" s="3"/>
    </row>
    <row r="11" spans="2:13" ht="15.75" x14ac:dyDescent="0.25">
      <c r="B11" s="36" t="s">
        <v>8</v>
      </c>
      <c r="C11" s="37"/>
      <c r="D11" s="37"/>
      <c r="E11" s="37"/>
      <c r="F11" s="37"/>
      <c r="G11" s="37"/>
      <c r="H11" s="37"/>
      <c r="I11" s="37"/>
      <c r="J11" s="37"/>
      <c r="K11" s="2">
        <v>-4</v>
      </c>
      <c r="L11" s="35"/>
      <c r="M11" s="3"/>
    </row>
    <row r="12" spans="2:13" ht="15.75" x14ac:dyDescent="0.25">
      <c r="B12" s="4"/>
      <c r="K12" s="2"/>
      <c r="M12" s="3"/>
    </row>
    <row r="13" spans="2:13" x14ac:dyDescent="0.2">
      <c r="B13" s="4"/>
      <c r="M13" s="3"/>
    </row>
    <row r="14" spans="2:13" x14ac:dyDescent="0.2">
      <c r="B14" s="4"/>
      <c r="M14" s="3"/>
    </row>
    <row r="15" spans="2:13" x14ac:dyDescent="0.2">
      <c r="B15" s="4"/>
      <c r="M15" s="3"/>
    </row>
    <row r="16" spans="2:13" x14ac:dyDescent="0.2">
      <c r="B16" s="4"/>
      <c r="M16" s="3"/>
    </row>
    <row r="17" spans="2:13" x14ac:dyDescent="0.2">
      <c r="B17" s="4"/>
      <c r="M17" s="3"/>
    </row>
    <row r="18" spans="2:13" ht="21" x14ac:dyDescent="0.2">
      <c r="B18" s="4"/>
      <c r="H18" s="38" t="s">
        <v>4</v>
      </c>
      <c r="I18" s="38"/>
      <c r="J18" s="38"/>
      <c r="K18" s="38"/>
      <c r="L18" s="38"/>
      <c r="M18" s="3"/>
    </row>
    <row r="19" spans="2:13" ht="15.75" x14ac:dyDescent="0.25">
      <c r="B19" s="36" t="s">
        <v>24</v>
      </c>
      <c r="C19" s="37"/>
      <c r="D19" s="37"/>
      <c r="E19" s="37"/>
      <c r="F19" s="37"/>
      <c r="G19" s="37"/>
      <c r="H19" s="37"/>
      <c r="I19" s="37"/>
      <c r="J19" s="37"/>
      <c r="K19" s="2">
        <v>-1</v>
      </c>
      <c r="M19" s="3"/>
    </row>
    <row r="20" spans="2:13" ht="15.75" x14ac:dyDescent="0.25">
      <c r="B20" s="36" t="s">
        <v>25</v>
      </c>
      <c r="C20" s="37"/>
      <c r="D20" s="37"/>
      <c r="E20" s="37"/>
      <c r="F20" s="37"/>
      <c r="G20" s="37"/>
      <c r="H20" s="37"/>
      <c r="I20" s="37"/>
      <c r="J20" s="37"/>
      <c r="K20" s="2">
        <v>-2</v>
      </c>
      <c r="M20" s="3"/>
    </row>
    <row r="21" spans="2:13" ht="15.75" x14ac:dyDescent="0.25">
      <c r="B21" s="36" t="s">
        <v>26</v>
      </c>
      <c r="C21" s="37"/>
      <c r="D21" s="37"/>
      <c r="E21" s="37"/>
      <c r="F21" s="37"/>
      <c r="G21" s="37"/>
      <c r="H21" s="37"/>
      <c r="I21" s="37"/>
      <c r="J21" s="37"/>
      <c r="K21" s="2">
        <v>-3</v>
      </c>
      <c r="M21" s="3"/>
    </row>
    <row r="22" spans="2:13" ht="15.75" x14ac:dyDescent="0.25">
      <c r="B22" s="36" t="s">
        <v>27</v>
      </c>
      <c r="C22" s="37"/>
      <c r="D22" s="37"/>
      <c r="E22" s="37"/>
      <c r="F22" s="37"/>
      <c r="G22" s="37"/>
      <c r="H22" s="37"/>
      <c r="I22" s="37"/>
      <c r="J22" s="37"/>
      <c r="K22" s="2">
        <v>-4</v>
      </c>
      <c r="M22" s="3"/>
    </row>
    <row r="23" spans="2:13" ht="15.75" x14ac:dyDescent="0.25">
      <c r="B23" s="36" t="s">
        <v>28</v>
      </c>
      <c r="C23" s="37"/>
      <c r="D23" s="37"/>
      <c r="E23" s="37"/>
      <c r="F23" s="37"/>
      <c r="G23" s="37"/>
      <c r="H23" s="37"/>
      <c r="I23" s="37"/>
      <c r="J23" s="37"/>
      <c r="K23" s="2">
        <v>-5</v>
      </c>
      <c r="M23" s="3"/>
    </row>
    <row r="24" spans="2:13" ht="15.75" x14ac:dyDescent="0.25">
      <c r="B24" s="36" t="s">
        <v>29</v>
      </c>
      <c r="C24" s="37"/>
      <c r="D24" s="37"/>
      <c r="E24" s="37"/>
      <c r="F24" s="37"/>
      <c r="G24" s="37"/>
      <c r="H24" s="37"/>
      <c r="I24" s="37"/>
      <c r="J24" s="37"/>
      <c r="K24" s="2">
        <v>-6</v>
      </c>
      <c r="M24" s="3"/>
    </row>
    <row r="25" spans="2:13" x14ac:dyDescent="0.2">
      <c r="B25" s="4"/>
      <c r="M25" s="3"/>
    </row>
    <row r="26" spans="2:13" x14ac:dyDescent="0.2">
      <c r="B26" s="4"/>
      <c r="M26" s="3"/>
    </row>
    <row r="27" spans="2:13" x14ac:dyDescent="0.2">
      <c r="B27" s="4"/>
      <c r="M27" s="3"/>
    </row>
    <row r="28" spans="2:13" x14ac:dyDescent="0.2">
      <c r="B28" s="4"/>
      <c r="M28" s="3"/>
    </row>
    <row r="29" spans="2:13" x14ac:dyDescent="0.2">
      <c r="B29" s="4"/>
      <c r="M29" s="3"/>
    </row>
    <row r="30" spans="2:13" x14ac:dyDescent="0.2">
      <c r="B30" s="4"/>
      <c r="M30" s="3"/>
    </row>
    <row r="31" spans="2:13" x14ac:dyDescent="0.2">
      <c r="B31" s="4"/>
      <c r="M31" s="3"/>
    </row>
    <row r="32" spans="2:13" x14ac:dyDescent="0.2">
      <c r="B32" s="4"/>
      <c r="M32" s="3"/>
    </row>
    <row r="33" spans="2:13" x14ac:dyDescent="0.2">
      <c r="B33" s="4"/>
      <c r="M33" s="3"/>
    </row>
    <row r="34" spans="2:13" x14ac:dyDescent="0.2">
      <c r="B34" s="4"/>
      <c r="M34" s="3"/>
    </row>
    <row r="35" spans="2:13" x14ac:dyDescent="0.2">
      <c r="B35" s="4"/>
      <c r="M35" s="3"/>
    </row>
    <row r="36" spans="2:13" x14ac:dyDescent="0.2">
      <c r="B36" s="4"/>
      <c r="M36" s="3"/>
    </row>
    <row r="37" spans="2:13" x14ac:dyDescent="0.2">
      <c r="B37" s="4"/>
      <c r="M37" s="3"/>
    </row>
    <row r="38" spans="2:13" x14ac:dyDescent="0.2">
      <c r="B38" s="4"/>
      <c r="M38" s="3"/>
    </row>
    <row r="39" spans="2:13" x14ac:dyDescent="0.2">
      <c r="B39" s="4"/>
      <c r="M39" s="3"/>
    </row>
    <row r="40" spans="2:13" x14ac:dyDescent="0.2">
      <c r="B40" s="4"/>
      <c r="M40" s="3"/>
    </row>
    <row r="41" spans="2:13" x14ac:dyDescent="0.2">
      <c r="B41" s="4"/>
      <c r="M41" s="3"/>
    </row>
    <row r="42" spans="2:13" x14ac:dyDescent="0.2">
      <c r="B42" s="4"/>
      <c r="M42" s="3"/>
    </row>
    <row r="43" spans="2:13" x14ac:dyDescent="0.2">
      <c r="B43" s="4"/>
      <c r="M43" s="3"/>
    </row>
    <row r="44" spans="2:13" x14ac:dyDescent="0.2">
      <c r="B44" s="4"/>
      <c r="M44" s="3"/>
    </row>
    <row r="45" spans="2:13" x14ac:dyDescent="0.2">
      <c r="B45" s="4"/>
      <c r="M45" s="3"/>
    </row>
    <row r="46" spans="2:13" x14ac:dyDescent="0.2">
      <c r="B46" s="4"/>
      <c r="M46" s="3"/>
    </row>
    <row r="47" spans="2:13" x14ac:dyDescent="0.2">
      <c r="B47" s="4"/>
      <c r="M47" s="3"/>
    </row>
    <row r="48" spans="2:13" x14ac:dyDescent="0.2">
      <c r="B48" s="4"/>
      <c r="M48" s="3"/>
    </row>
    <row r="49" spans="2:13" ht="27" customHeight="1" x14ac:dyDescent="0.2">
      <c r="B49" s="4"/>
      <c r="M49" s="3"/>
    </row>
    <row r="50" spans="2:13" ht="26.25" customHeight="1" x14ac:dyDescent="0.2">
      <c r="B50" s="4"/>
      <c r="M50" s="3"/>
    </row>
    <row r="51" spans="2:13" ht="24.75" customHeight="1" x14ac:dyDescent="0.2">
      <c r="B51" s="4"/>
      <c r="M51" s="3"/>
    </row>
    <row r="52" spans="2:13" x14ac:dyDescent="0.2">
      <c r="B52" s="4"/>
      <c r="M52" s="3"/>
    </row>
    <row r="53" spans="2:13" x14ac:dyDescent="0.2">
      <c r="B53" s="4"/>
      <c r="M53" s="3"/>
    </row>
    <row r="54" spans="2:13" x14ac:dyDescent="0.2">
      <c r="B54" s="4"/>
      <c r="M54" s="3"/>
    </row>
    <row r="55" spans="2:13" ht="12" thickBot="1" x14ac:dyDescent="0.25">
      <c r="B55" s="5"/>
      <c r="C55" s="6"/>
      <c r="D55" s="6"/>
      <c r="E55" s="6"/>
      <c r="F55" s="6"/>
      <c r="G55" s="6"/>
      <c r="H55" s="6"/>
      <c r="I55" s="6"/>
      <c r="J55" s="6"/>
      <c r="K55" s="6"/>
      <c r="L55" s="6"/>
      <c r="M55" s="7"/>
    </row>
    <row r="56" spans="2:13" ht="12.75" thickTop="1" thickBot="1" x14ac:dyDescent="0.25"/>
    <row r="57" spans="2:13" ht="18.75" customHeight="1" thickTop="1" thickBot="1" x14ac:dyDescent="0.25">
      <c r="B57" s="42" t="s">
        <v>340</v>
      </c>
      <c r="C57" s="43"/>
      <c r="D57" s="48" t="s">
        <v>5</v>
      </c>
      <c r="E57" s="49"/>
      <c r="F57" s="48" t="s">
        <v>6</v>
      </c>
      <c r="G57" s="49"/>
      <c r="H57" s="54" t="s">
        <v>303</v>
      </c>
      <c r="I57" s="55"/>
      <c r="J57" s="55"/>
      <c r="K57" s="55"/>
      <c r="L57" s="55"/>
      <c r="M57" s="56"/>
    </row>
    <row r="58" spans="2:13" ht="18" customHeight="1" thickTop="1" thickBot="1" x14ac:dyDescent="0.25">
      <c r="B58" s="44"/>
      <c r="C58" s="45"/>
      <c r="D58" s="50"/>
      <c r="E58" s="51"/>
      <c r="F58" s="50"/>
      <c r="G58" s="51"/>
      <c r="H58" s="54" t="s">
        <v>339</v>
      </c>
      <c r="I58" s="55"/>
      <c r="J58" s="55"/>
      <c r="K58" s="55"/>
      <c r="L58" s="55"/>
      <c r="M58" s="56"/>
    </row>
    <row r="59" spans="2:13" ht="19.5" customHeight="1" thickTop="1" thickBot="1" x14ac:dyDescent="0.25">
      <c r="B59" s="46"/>
      <c r="C59" s="47"/>
      <c r="D59" s="52"/>
      <c r="E59" s="53"/>
      <c r="F59" s="52"/>
      <c r="G59" s="53"/>
      <c r="H59" s="54" t="s">
        <v>306</v>
      </c>
      <c r="I59" s="55"/>
      <c r="J59" s="55"/>
      <c r="K59" s="55"/>
      <c r="L59" s="55"/>
      <c r="M59" s="56"/>
    </row>
    <row r="60" spans="2:13" ht="12" thickTop="1" x14ac:dyDescent="0.2"/>
  </sheetData>
  <mergeCells count="26">
    <mergeCell ref="B3:B5"/>
    <mergeCell ref="C3:M3"/>
    <mergeCell ref="C4:I4"/>
    <mergeCell ref="J4:M4"/>
    <mergeCell ref="C5:I5"/>
    <mergeCell ref="J5:M5"/>
    <mergeCell ref="B23:J23"/>
    <mergeCell ref="B6:M6"/>
    <mergeCell ref="B7:L7"/>
    <mergeCell ref="B8:J8"/>
    <mergeCell ref="L8:L11"/>
    <mergeCell ref="B9:J9"/>
    <mergeCell ref="B10:J10"/>
    <mergeCell ref="B11:J11"/>
    <mergeCell ref="H18:L18"/>
    <mergeCell ref="B19:J19"/>
    <mergeCell ref="B20:J20"/>
    <mergeCell ref="B21:J21"/>
    <mergeCell ref="B22:J22"/>
    <mergeCell ref="B24:J24"/>
    <mergeCell ref="B57:C59"/>
    <mergeCell ref="D57:E59"/>
    <mergeCell ref="F57:G59"/>
    <mergeCell ref="H57:M57"/>
    <mergeCell ref="H58:M58"/>
    <mergeCell ref="H59:M59"/>
  </mergeCells>
  <printOptions horizontalCentered="1" verticalCentered="1"/>
  <pageMargins left="0" right="0.59055118110236227" top="0" bottom="0" header="0" footer="0"/>
  <pageSetup paperSize="9" scale="90" orientation="portrait" horizontalDpi="1200" verticalDpi="1200" r:id="rId1"/>
  <headerFooter>
    <oddHeader>&amp;L
Fo-I/E-24   Issue(1)   Rev(0)</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Sheet1 (35)</vt:lpstr>
      <vt:lpstr>Sheet1 (34)</vt:lpstr>
      <vt:lpstr>Sheet1 (33)</vt:lpstr>
      <vt:lpstr>Sheet1 (31)</vt:lpstr>
      <vt:lpstr>Sheet1 (30)</vt:lpstr>
      <vt:lpstr>Sheet1 (28)</vt:lpstr>
      <vt:lpstr>Sheet1 (27)</vt:lpstr>
      <vt:lpstr>Sheet1 (26)</vt:lpstr>
      <vt:lpstr>Sheet1 (25)</vt:lpstr>
      <vt:lpstr>Sheet1 (24)</vt:lpstr>
      <vt:lpstr>Sheet1 (3)</vt:lpstr>
      <vt:lpstr>Sheet1 (6)</vt:lpstr>
      <vt:lpstr>X14.</vt:lpstr>
      <vt:lpstr>X13</vt:lpstr>
      <vt:lpstr>X12</vt:lpstr>
      <vt:lpstr>X11</vt:lpstr>
      <vt:lpstr>X10</vt:lpstr>
      <vt:lpstr>X9</vt:lpstr>
      <vt:lpstr>X7</vt:lpstr>
      <vt:lpstr>X6</vt:lpstr>
      <vt:lpstr>X5</vt:lpstr>
      <vt:lpstr>X4</vt:lpstr>
      <vt:lpstr>X3</vt:lpstr>
      <vt:lpstr>X2</vt:lpstr>
      <vt:lpstr>X1</vt:lpstr>
      <vt:lpstr>P23</vt:lpstr>
      <vt:lpstr>P 22</vt:lpstr>
      <vt:lpstr>P21</vt:lpstr>
      <vt:lpstr>P20</vt:lpstr>
      <vt:lpstr>P 19</vt:lpstr>
      <vt:lpstr>P 18</vt:lpstr>
      <vt:lpstr>P17</vt:lpstr>
      <vt:lpstr>P 15</vt:lpstr>
      <vt:lpstr>P 14</vt:lpstr>
      <vt:lpstr>P 13</vt:lpstr>
      <vt:lpstr>P 12</vt:lpstr>
      <vt:lpstr>P 11</vt:lpstr>
      <vt:lpstr>P9</vt:lpstr>
      <vt:lpstr>P3</vt:lpstr>
      <vt:lpstr>P5</vt:lpstr>
      <vt:lpstr>P6, P7,P8</vt:lpstr>
      <vt:lpstr>P4</vt:lpstr>
      <vt:lpstr>P2</vt:lpstr>
      <vt:lpstr>P1</vt:lpstr>
    </vt:vector>
  </TitlesOfParts>
  <Company>Pirelli 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Elmeligy Osama, EG</dc:creator>
  <cp:lastModifiedBy>Yehia Ahmed, EG</cp:lastModifiedBy>
  <cp:lastPrinted>2024-09-27T13:52:45Z</cp:lastPrinted>
  <dcterms:created xsi:type="dcterms:W3CDTF">2017-01-05T10:51:51Z</dcterms:created>
  <dcterms:modified xsi:type="dcterms:W3CDTF">2024-10-06T12:21:35Z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oken_Wrapper">
    <vt:lpwstr>71fe9900-3f7f-4e6a-aedc-e973979f6846</vt:lpwstr>
  </property>
  <property fmtid="{D5CDD505-2E9C-101B-9397-08002B2CF9AE}" pid="3" name="Classification">
    <vt:lpwstr>Internal Use Only - Pirelli Data Classification</vt:lpwstr>
  </property>
  <property fmtid="{D5CDD505-2E9C-101B-9397-08002B2CF9AE}" pid="4" name="_AdHocReviewCycleID">
    <vt:i4>-1418933113</vt:i4>
  </property>
  <property fmtid="{D5CDD505-2E9C-101B-9397-08002B2CF9AE}" pid="5" name="_NewReviewCycle">
    <vt:lpwstr/>
  </property>
  <property fmtid="{D5CDD505-2E9C-101B-9397-08002B2CF9AE}" pid="6" name="_EmailSubject">
    <vt:lpwstr>Curing and inspection task Instruction </vt:lpwstr>
  </property>
  <property fmtid="{D5CDD505-2E9C-101B-9397-08002B2CF9AE}" pid="7" name="_AuthorEmail">
    <vt:lpwstr>ahmed.yehia@prometeon.com</vt:lpwstr>
  </property>
  <property fmtid="{D5CDD505-2E9C-101B-9397-08002B2CF9AE}" pid="8" name="_AuthorEmailDisplayName">
    <vt:lpwstr>Yehia Ahmed, EG</vt:lpwstr>
  </property>
</Properties>
</file>